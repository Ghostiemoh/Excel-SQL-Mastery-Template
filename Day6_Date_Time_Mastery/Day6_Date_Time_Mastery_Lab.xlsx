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te_Source" sheetId="2" state="visible" r:id="rId2"/>
    <sheet xmlns:r="http://schemas.openxmlformats.org/officeDocument/2006/relationships" name="The_Archive" sheetId="3" state="visible" r:id="rId3"/>
    <sheet xmlns:r="http://schemas.openxmlformats.org/officeDocument/2006/relationships" name="Mastery_Lab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Outfit"/>
      <b val="1"/>
      <color rgb="00059669"/>
      <sz val="28"/>
    </font>
    <font>
      <name val="Outfit"/>
      <b val="1"/>
      <color rgb="0009090B"/>
      <sz val="18"/>
    </font>
    <font>
      <name val="Inter"/>
      <i val="1"/>
      <color rgb="0027272A"/>
      <sz val="10"/>
    </font>
    <font>
      <name val="Inter"/>
      <b val="1"/>
      <color rgb="00FFFFFF"/>
    </font>
    <font>
      <name val="Inter"/>
      <b val="1"/>
      <color rgb="0027272A"/>
      <sz val="11"/>
    </font>
  </fonts>
  <fills count="4">
    <fill>
      <patternFill/>
    </fill>
    <fill>
      <patternFill patternType="gray125"/>
    </fill>
    <fill>
      <patternFill patternType="solid">
        <fgColor rgb="00059669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medium">
        <color rgb="00059669"/>
      </left>
      <right style="thin">
        <color rgb="0027272A"/>
      </right>
      <top style="thin">
        <color rgb="0027272A"/>
      </top>
      <bottom style="thin">
        <color rgb="00272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3" borderId="1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952500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2:B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35" customWidth="1" min="3" max="3"/>
    <col width="20" customWidth="1" min="4" max="4"/>
  </cols>
  <sheetData>
    <row r="12">
      <c r="B12" s="1" t="inlineStr">
        <is>
          <t>Day 6: Date &amp; Time Intelligence Masterclass</t>
        </is>
      </c>
    </row>
    <row r="14">
      <c r="B14" s="2" t="inlineStr">
        <is>
          <t>How to use this Lab:</t>
        </is>
      </c>
    </row>
    <row r="15">
      <c r="B15" s="3" t="inlineStr">
        <is>
          <t>1. Navigate to the 'Mastery_Lab' sheet.</t>
        </is>
      </c>
    </row>
    <row r="16">
      <c r="B16" s="3" t="inlineStr">
        <is>
          <t>2. Enter your formula or answer in the green input boxes (Column C).</t>
        </is>
      </c>
    </row>
    <row r="17">
      <c r="B17" s="3" t="inlineStr">
        <is>
          <t>3. The 'Status' column (Column D) will automatically validate your answer.</t>
        </is>
      </c>
    </row>
    <row r="18">
      <c r="B18" s="3" t="inlineStr">
        <is>
          <t>4. If you get stuck, check the 'The_Archive' sheet for the correct formulas.</t>
        </is>
      </c>
    </row>
    <row r="19">
      <c r="B19" s="3" t="inlineStr">
        <is>
          <t>5. Use 'Date_Source' as your reference data for all tasks.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Event ID</t>
        </is>
      </c>
      <c r="B1" s="4" t="inlineStr">
        <is>
          <t>Project</t>
        </is>
      </c>
      <c r="C1" s="4" t="inlineStr">
        <is>
          <t>Start Date</t>
        </is>
      </c>
      <c r="D1" s="4" t="inlineStr">
        <is>
          <t>End Date</t>
        </is>
      </c>
      <c r="E1" s="4" t="inlineStr">
        <is>
          <t>Status</t>
        </is>
      </c>
    </row>
    <row r="2">
      <c r="A2" t="inlineStr">
        <is>
          <t>EVT-1001</t>
        </is>
      </c>
      <c r="B2" t="inlineStr">
        <is>
          <t>Project B</t>
        </is>
      </c>
      <c r="C2" s="5" t="n">
        <v>44932</v>
      </c>
      <c r="D2" s="5" t="n">
        <v>44943</v>
      </c>
      <c r="E2" t="inlineStr">
        <is>
          <t>Pending</t>
        </is>
      </c>
    </row>
    <row r="3">
      <c r="A3" t="inlineStr">
        <is>
          <t>EVT-1002</t>
        </is>
      </c>
      <c r="B3" t="inlineStr">
        <is>
          <t>Project C</t>
        </is>
      </c>
      <c r="C3" s="5" t="n">
        <v>44937</v>
      </c>
      <c r="D3" s="5" t="n">
        <v>44949</v>
      </c>
      <c r="E3" t="inlineStr">
        <is>
          <t>Active</t>
        </is>
      </c>
    </row>
    <row r="4">
      <c r="A4" t="inlineStr">
        <is>
          <t>EVT-1003</t>
        </is>
      </c>
      <c r="B4" t="inlineStr">
        <is>
          <t>Project D</t>
        </is>
      </c>
      <c r="C4" s="5" t="n">
        <v>44942</v>
      </c>
      <c r="D4" s="5" t="n">
        <v>44955</v>
      </c>
      <c r="E4" t="inlineStr">
        <is>
          <t>Pending</t>
        </is>
      </c>
    </row>
    <row r="5">
      <c r="A5" t="inlineStr">
        <is>
          <t>EVT-1004</t>
        </is>
      </c>
      <c r="B5" t="inlineStr">
        <is>
          <t>Project E</t>
        </is>
      </c>
      <c r="C5" s="5" t="n">
        <v>44947</v>
      </c>
      <c r="D5" s="5" t="n">
        <v>44961</v>
      </c>
      <c r="E5" t="inlineStr">
        <is>
          <t>Active</t>
        </is>
      </c>
    </row>
    <row r="6">
      <c r="A6" t="inlineStr">
        <is>
          <t>EVT-1005</t>
        </is>
      </c>
      <c r="B6" t="inlineStr">
        <is>
          <t>Project F</t>
        </is>
      </c>
      <c r="C6" s="5" t="n">
        <v>44952</v>
      </c>
      <c r="D6" s="5" t="n">
        <v>44967</v>
      </c>
      <c r="E6" t="inlineStr">
        <is>
          <t>Pending</t>
        </is>
      </c>
    </row>
    <row r="7">
      <c r="A7" t="inlineStr">
        <is>
          <t>EVT-1006</t>
        </is>
      </c>
      <c r="B7" t="inlineStr">
        <is>
          <t>Project G</t>
        </is>
      </c>
      <c r="C7" s="5" t="n">
        <v>44957</v>
      </c>
      <c r="D7" s="5" t="n">
        <v>44973</v>
      </c>
      <c r="E7" t="inlineStr">
        <is>
          <t>Active</t>
        </is>
      </c>
    </row>
    <row r="8">
      <c r="A8" t="inlineStr">
        <is>
          <t>EVT-1007</t>
        </is>
      </c>
      <c r="B8" t="inlineStr">
        <is>
          <t>Project H</t>
        </is>
      </c>
      <c r="C8" s="5" t="n">
        <v>44962</v>
      </c>
      <c r="D8" s="5" t="n">
        <v>44979</v>
      </c>
      <c r="E8" t="inlineStr">
        <is>
          <t>Pending</t>
        </is>
      </c>
    </row>
    <row r="9">
      <c r="A9" t="inlineStr">
        <is>
          <t>EVT-1008</t>
        </is>
      </c>
      <c r="B9" t="inlineStr">
        <is>
          <t>Project I</t>
        </is>
      </c>
      <c r="C9" s="5" t="n">
        <v>44967</v>
      </c>
      <c r="D9" s="5" t="n">
        <v>44985</v>
      </c>
      <c r="E9" t="inlineStr">
        <is>
          <t>Active</t>
        </is>
      </c>
    </row>
    <row r="10">
      <c r="A10" t="inlineStr">
        <is>
          <t>EVT-1009</t>
        </is>
      </c>
      <c r="B10" t="inlineStr">
        <is>
          <t>Project J</t>
        </is>
      </c>
      <c r="C10" s="5" t="n">
        <v>44972</v>
      </c>
      <c r="D10" s="5" t="n">
        <v>44991</v>
      </c>
      <c r="E10" t="inlineStr">
        <is>
          <t>Pending</t>
        </is>
      </c>
    </row>
    <row r="11">
      <c r="A11" t="inlineStr">
        <is>
          <t>EVT-1010</t>
        </is>
      </c>
      <c r="B11" t="inlineStr">
        <is>
          <t>Project K</t>
        </is>
      </c>
      <c r="C11" s="5" t="n">
        <v>44977</v>
      </c>
      <c r="D11" s="5" t="n">
        <v>44997</v>
      </c>
      <c r="E11" t="inlineStr">
        <is>
          <t>Active</t>
        </is>
      </c>
    </row>
    <row r="12">
      <c r="A12" t="inlineStr">
        <is>
          <t>EVT-1011</t>
        </is>
      </c>
      <c r="B12" t="inlineStr">
        <is>
          <t>Project L</t>
        </is>
      </c>
      <c r="C12" s="5" t="n">
        <v>44982</v>
      </c>
      <c r="D12" s="5" t="n">
        <v>45003</v>
      </c>
      <c r="E12" t="inlineStr">
        <is>
          <t>Pending</t>
        </is>
      </c>
    </row>
    <row r="13">
      <c r="A13" t="inlineStr">
        <is>
          <t>EVT-1012</t>
        </is>
      </c>
      <c r="B13" t="inlineStr">
        <is>
          <t>Project M</t>
        </is>
      </c>
      <c r="C13" s="5" t="n">
        <v>44987</v>
      </c>
      <c r="D13" s="5" t="n">
        <v>45009</v>
      </c>
      <c r="E13" t="inlineStr">
        <is>
          <t>Active</t>
        </is>
      </c>
    </row>
    <row r="14">
      <c r="A14" t="inlineStr">
        <is>
          <t>EVT-1013</t>
        </is>
      </c>
      <c r="B14" t="inlineStr">
        <is>
          <t>Project N</t>
        </is>
      </c>
      <c r="C14" s="5" t="n">
        <v>44992</v>
      </c>
      <c r="D14" s="5" t="n">
        <v>45015</v>
      </c>
      <c r="E14" t="inlineStr">
        <is>
          <t>Pending</t>
        </is>
      </c>
    </row>
    <row r="15">
      <c r="A15" t="inlineStr">
        <is>
          <t>EVT-1014</t>
        </is>
      </c>
      <c r="B15" t="inlineStr">
        <is>
          <t>Project O</t>
        </is>
      </c>
      <c r="C15" s="5" t="n">
        <v>44997</v>
      </c>
      <c r="D15" s="5" t="n">
        <v>45021</v>
      </c>
      <c r="E15" t="inlineStr">
        <is>
          <t>Active</t>
        </is>
      </c>
    </row>
    <row r="16">
      <c r="A16" t="inlineStr">
        <is>
          <t>EVT-1015</t>
        </is>
      </c>
      <c r="B16" t="inlineStr">
        <is>
          <t>Project P</t>
        </is>
      </c>
      <c r="C16" s="5" t="n">
        <v>45002</v>
      </c>
      <c r="D16" s="5" t="n">
        <v>45027</v>
      </c>
      <c r="E16" t="inlineStr">
        <is>
          <t>Pending</t>
        </is>
      </c>
    </row>
    <row r="17">
      <c r="A17" t="inlineStr">
        <is>
          <t>EVT-1016</t>
        </is>
      </c>
      <c r="B17" t="inlineStr">
        <is>
          <t>Project Q</t>
        </is>
      </c>
      <c r="C17" s="5" t="n">
        <v>45007</v>
      </c>
      <c r="D17" s="5" t="n">
        <v>45033</v>
      </c>
      <c r="E17" t="inlineStr">
        <is>
          <t>Active</t>
        </is>
      </c>
    </row>
    <row r="18">
      <c r="A18" t="inlineStr">
        <is>
          <t>EVT-1017</t>
        </is>
      </c>
      <c r="B18" t="inlineStr">
        <is>
          <t>Project R</t>
        </is>
      </c>
      <c r="C18" s="5" t="n">
        <v>45012</v>
      </c>
      <c r="D18" s="5" t="n">
        <v>45039</v>
      </c>
      <c r="E18" t="inlineStr">
        <is>
          <t>Pending</t>
        </is>
      </c>
    </row>
    <row r="19">
      <c r="A19" t="inlineStr">
        <is>
          <t>EVT-1018</t>
        </is>
      </c>
      <c r="B19" t="inlineStr">
        <is>
          <t>Project S</t>
        </is>
      </c>
      <c r="C19" s="5" t="n">
        <v>45017</v>
      </c>
      <c r="D19" s="5" t="n">
        <v>45045</v>
      </c>
      <c r="E19" t="inlineStr">
        <is>
          <t>Active</t>
        </is>
      </c>
    </row>
    <row r="20">
      <c r="A20" t="inlineStr">
        <is>
          <t>EVT-1019</t>
        </is>
      </c>
      <c r="B20" t="inlineStr">
        <is>
          <t>Project T</t>
        </is>
      </c>
      <c r="C20" s="5" t="n">
        <v>45022</v>
      </c>
      <c r="D20" s="5" t="n">
        <v>45051</v>
      </c>
      <c r="E20" t="inlineStr">
        <is>
          <t>Pending</t>
        </is>
      </c>
    </row>
    <row r="21">
      <c r="A21" t="inlineStr">
        <is>
          <t>EVT-1020</t>
        </is>
      </c>
      <c r="B21" t="inlineStr">
        <is>
          <t>Project U</t>
        </is>
      </c>
      <c r="C21" s="5" t="n">
        <v>45027</v>
      </c>
      <c r="D21" s="5" t="n">
        <v>45037</v>
      </c>
      <c r="E21" t="inlineStr">
        <is>
          <t>Active</t>
        </is>
      </c>
    </row>
    <row r="22">
      <c r="A22" t="inlineStr">
        <is>
          <t>EVT-1021</t>
        </is>
      </c>
      <c r="B22" t="inlineStr">
        <is>
          <t>Project V</t>
        </is>
      </c>
      <c r="C22" s="5" t="n">
        <v>45032</v>
      </c>
      <c r="D22" s="5" t="n">
        <v>45043</v>
      </c>
      <c r="E22" t="inlineStr">
        <is>
          <t>Pending</t>
        </is>
      </c>
    </row>
    <row r="23">
      <c r="A23" t="inlineStr">
        <is>
          <t>EVT-1022</t>
        </is>
      </c>
      <c r="B23" t="inlineStr">
        <is>
          <t>Project W</t>
        </is>
      </c>
      <c r="C23" s="5" t="n">
        <v>45037</v>
      </c>
      <c r="D23" s="5" t="n">
        <v>45049</v>
      </c>
      <c r="E23" t="inlineStr">
        <is>
          <t>Active</t>
        </is>
      </c>
    </row>
    <row r="24">
      <c r="A24" t="inlineStr">
        <is>
          <t>EVT-1023</t>
        </is>
      </c>
      <c r="B24" t="inlineStr">
        <is>
          <t>Project X</t>
        </is>
      </c>
      <c r="C24" s="5" t="n">
        <v>45042</v>
      </c>
      <c r="D24" s="5" t="n">
        <v>45055</v>
      </c>
      <c r="E24" t="inlineStr">
        <is>
          <t>Pending</t>
        </is>
      </c>
    </row>
    <row r="25">
      <c r="A25" t="inlineStr">
        <is>
          <t>EVT-1024</t>
        </is>
      </c>
      <c r="B25" t="inlineStr">
        <is>
          <t>Project Y</t>
        </is>
      </c>
      <c r="C25" s="5" t="n">
        <v>45047</v>
      </c>
      <c r="D25" s="5" t="n">
        <v>45061</v>
      </c>
      <c r="E25" t="inlineStr">
        <is>
          <t>Active</t>
        </is>
      </c>
    </row>
    <row r="26">
      <c r="A26" t="inlineStr">
        <is>
          <t>EVT-1025</t>
        </is>
      </c>
      <c r="B26" t="inlineStr">
        <is>
          <t>Project Z</t>
        </is>
      </c>
      <c r="C26" s="5" t="n">
        <v>45052</v>
      </c>
      <c r="D26" s="5" t="n">
        <v>45067</v>
      </c>
      <c r="E26" t="inlineStr">
        <is>
          <t>Pending</t>
        </is>
      </c>
    </row>
    <row r="27">
      <c r="A27" t="inlineStr">
        <is>
          <t>EVT-1026</t>
        </is>
      </c>
      <c r="B27" t="inlineStr">
        <is>
          <t>Project A</t>
        </is>
      </c>
      <c r="C27" s="5" t="n">
        <v>45057</v>
      </c>
      <c r="D27" s="5" t="n">
        <v>45073</v>
      </c>
      <c r="E27" t="inlineStr">
        <is>
          <t>Active</t>
        </is>
      </c>
    </row>
    <row r="28">
      <c r="A28" t="inlineStr">
        <is>
          <t>EVT-1027</t>
        </is>
      </c>
      <c r="B28" t="inlineStr">
        <is>
          <t>Project B</t>
        </is>
      </c>
      <c r="C28" s="5" t="n">
        <v>45062</v>
      </c>
      <c r="D28" s="5" t="n">
        <v>45079</v>
      </c>
      <c r="E28" t="inlineStr">
        <is>
          <t>Pending</t>
        </is>
      </c>
    </row>
    <row r="29">
      <c r="A29" t="inlineStr">
        <is>
          <t>EVT-1028</t>
        </is>
      </c>
      <c r="B29" t="inlineStr">
        <is>
          <t>Project C</t>
        </is>
      </c>
      <c r="C29" s="5" t="n">
        <v>45067</v>
      </c>
      <c r="D29" s="5" t="n">
        <v>45085</v>
      </c>
      <c r="E29" t="inlineStr">
        <is>
          <t>Active</t>
        </is>
      </c>
    </row>
    <row r="30">
      <c r="A30" t="inlineStr">
        <is>
          <t>EVT-1029</t>
        </is>
      </c>
      <c r="B30" t="inlineStr">
        <is>
          <t>Project D</t>
        </is>
      </c>
      <c r="C30" s="5" t="n">
        <v>45072</v>
      </c>
      <c r="D30" s="5" t="n">
        <v>45091</v>
      </c>
      <c r="E30" t="inlineStr">
        <is>
          <t>Pending</t>
        </is>
      </c>
    </row>
    <row r="31">
      <c r="A31" t="inlineStr">
        <is>
          <t>EVT-1030</t>
        </is>
      </c>
      <c r="B31" t="inlineStr">
        <is>
          <t>Project E</t>
        </is>
      </c>
      <c r="C31" s="5" t="n">
        <v>45077</v>
      </c>
      <c r="D31" s="5" t="n">
        <v>45097</v>
      </c>
      <c r="E31" t="inlineStr">
        <is>
          <t>Active</t>
        </is>
      </c>
    </row>
    <row r="32">
      <c r="A32" t="inlineStr">
        <is>
          <t>EVT-1031</t>
        </is>
      </c>
      <c r="B32" t="inlineStr">
        <is>
          <t>Project F</t>
        </is>
      </c>
      <c r="C32" s="5" t="n">
        <v>45082</v>
      </c>
      <c r="D32" s="5" t="n">
        <v>45103</v>
      </c>
      <c r="E32" t="inlineStr">
        <is>
          <t>Pending</t>
        </is>
      </c>
    </row>
    <row r="33">
      <c r="A33" t="inlineStr">
        <is>
          <t>EVT-1032</t>
        </is>
      </c>
      <c r="B33" t="inlineStr">
        <is>
          <t>Project G</t>
        </is>
      </c>
      <c r="C33" s="5" t="n">
        <v>45087</v>
      </c>
      <c r="D33" s="5" t="n">
        <v>45109</v>
      </c>
      <c r="E33" t="inlineStr">
        <is>
          <t>Active</t>
        </is>
      </c>
    </row>
    <row r="34">
      <c r="A34" t="inlineStr">
        <is>
          <t>EVT-1033</t>
        </is>
      </c>
      <c r="B34" t="inlineStr">
        <is>
          <t>Project H</t>
        </is>
      </c>
      <c r="C34" s="5" t="n">
        <v>45092</v>
      </c>
      <c r="D34" s="5" t="n">
        <v>45115</v>
      </c>
      <c r="E34" t="inlineStr">
        <is>
          <t>Pending</t>
        </is>
      </c>
    </row>
    <row r="35">
      <c r="A35" t="inlineStr">
        <is>
          <t>EVT-1034</t>
        </is>
      </c>
      <c r="B35" t="inlineStr">
        <is>
          <t>Project I</t>
        </is>
      </c>
      <c r="C35" s="5" t="n">
        <v>45097</v>
      </c>
      <c r="D35" s="5" t="n">
        <v>45121</v>
      </c>
      <c r="E35" t="inlineStr">
        <is>
          <t>Active</t>
        </is>
      </c>
    </row>
    <row r="36">
      <c r="A36" t="inlineStr">
        <is>
          <t>EVT-1035</t>
        </is>
      </c>
      <c r="B36" t="inlineStr">
        <is>
          <t>Project J</t>
        </is>
      </c>
      <c r="C36" s="5" t="n">
        <v>45102</v>
      </c>
      <c r="D36" s="5" t="n">
        <v>45127</v>
      </c>
      <c r="E36" t="inlineStr">
        <is>
          <t>Pending</t>
        </is>
      </c>
    </row>
    <row r="37">
      <c r="A37" t="inlineStr">
        <is>
          <t>EVT-1036</t>
        </is>
      </c>
      <c r="B37" t="inlineStr">
        <is>
          <t>Project K</t>
        </is>
      </c>
      <c r="C37" s="5" t="n">
        <v>45107</v>
      </c>
      <c r="D37" s="5" t="n">
        <v>45133</v>
      </c>
      <c r="E37" t="inlineStr">
        <is>
          <t>Active</t>
        </is>
      </c>
    </row>
    <row r="38">
      <c r="A38" t="inlineStr">
        <is>
          <t>EVT-1037</t>
        </is>
      </c>
      <c r="B38" t="inlineStr">
        <is>
          <t>Project L</t>
        </is>
      </c>
      <c r="C38" s="5" t="n">
        <v>45112</v>
      </c>
      <c r="D38" s="5" t="n">
        <v>45139</v>
      </c>
      <c r="E38" t="inlineStr">
        <is>
          <t>Pending</t>
        </is>
      </c>
    </row>
    <row r="39">
      <c r="A39" t="inlineStr">
        <is>
          <t>EVT-1038</t>
        </is>
      </c>
      <c r="B39" t="inlineStr">
        <is>
          <t>Project M</t>
        </is>
      </c>
      <c r="C39" s="5" t="n">
        <v>45117</v>
      </c>
      <c r="D39" s="5" t="n">
        <v>45145</v>
      </c>
      <c r="E39" t="inlineStr">
        <is>
          <t>Active</t>
        </is>
      </c>
    </row>
    <row r="40">
      <c r="A40" t="inlineStr">
        <is>
          <t>EVT-1039</t>
        </is>
      </c>
      <c r="B40" t="inlineStr">
        <is>
          <t>Project N</t>
        </is>
      </c>
      <c r="C40" s="5" t="n">
        <v>45122</v>
      </c>
      <c r="D40" s="5" t="n">
        <v>45151</v>
      </c>
      <c r="E40" t="inlineStr">
        <is>
          <t>Pending</t>
        </is>
      </c>
    </row>
    <row r="41">
      <c r="A41" t="inlineStr">
        <is>
          <t>EVT-1040</t>
        </is>
      </c>
      <c r="B41" t="inlineStr">
        <is>
          <t>Project O</t>
        </is>
      </c>
      <c r="C41" s="5" t="n">
        <v>45127</v>
      </c>
      <c r="D41" s="5" t="n">
        <v>45137</v>
      </c>
      <c r="E41" t="inlineStr">
        <is>
          <t>Active</t>
        </is>
      </c>
    </row>
    <row r="42">
      <c r="A42" t="inlineStr">
        <is>
          <t>EVT-1041</t>
        </is>
      </c>
      <c r="B42" t="inlineStr">
        <is>
          <t>Project P</t>
        </is>
      </c>
      <c r="C42" s="5" t="n">
        <v>45132</v>
      </c>
      <c r="D42" s="5" t="n">
        <v>45143</v>
      </c>
      <c r="E42" t="inlineStr">
        <is>
          <t>Pending</t>
        </is>
      </c>
    </row>
    <row r="43">
      <c r="A43" t="inlineStr">
        <is>
          <t>EVT-1042</t>
        </is>
      </c>
      <c r="B43" t="inlineStr">
        <is>
          <t>Project Q</t>
        </is>
      </c>
      <c r="C43" s="5" t="n">
        <v>45137</v>
      </c>
      <c r="D43" s="5" t="n">
        <v>45149</v>
      </c>
      <c r="E43" t="inlineStr">
        <is>
          <t>Active</t>
        </is>
      </c>
    </row>
    <row r="44">
      <c r="A44" t="inlineStr">
        <is>
          <t>EVT-1043</t>
        </is>
      </c>
      <c r="B44" t="inlineStr">
        <is>
          <t>Project R</t>
        </is>
      </c>
      <c r="C44" s="5" t="n">
        <v>45142</v>
      </c>
      <c r="D44" s="5" t="n">
        <v>45155</v>
      </c>
      <c r="E44" t="inlineStr">
        <is>
          <t>Pending</t>
        </is>
      </c>
    </row>
    <row r="45">
      <c r="A45" t="inlineStr">
        <is>
          <t>EVT-1044</t>
        </is>
      </c>
      <c r="B45" t="inlineStr">
        <is>
          <t>Project S</t>
        </is>
      </c>
      <c r="C45" s="5" t="n">
        <v>45147</v>
      </c>
      <c r="D45" s="5" t="n">
        <v>45161</v>
      </c>
      <c r="E45" t="inlineStr">
        <is>
          <t>Active</t>
        </is>
      </c>
    </row>
    <row r="46">
      <c r="A46" t="inlineStr">
        <is>
          <t>EVT-1045</t>
        </is>
      </c>
      <c r="B46" t="inlineStr">
        <is>
          <t>Project T</t>
        </is>
      </c>
      <c r="C46" s="5" t="n">
        <v>45152</v>
      </c>
      <c r="D46" s="5" t="n">
        <v>45167</v>
      </c>
      <c r="E46" t="inlineStr">
        <is>
          <t>Pending</t>
        </is>
      </c>
    </row>
    <row r="47">
      <c r="A47" t="inlineStr">
        <is>
          <t>EVT-1046</t>
        </is>
      </c>
      <c r="B47" t="inlineStr">
        <is>
          <t>Project U</t>
        </is>
      </c>
      <c r="C47" s="5" t="n">
        <v>45157</v>
      </c>
      <c r="D47" s="5" t="n">
        <v>45173</v>
      </c>
      <c r="E47" t="inlineStr">
        <is>
          <t>Active</t>
        </is>
      </c>
    </row>
    <row r="48">
      <c r="A48" t="inlineStr">
        <is>
          <t>EVT-1047</t>
        </is>
      </c>
      <c r="B48" t="inlineStr">
        <is>
          <t>Project V</t>
        </is>
      </c>
      <c r="C48" s="5" t="n">
        <v>45162</v>
      </c>
      <c r="D48" s="5" t="n">
        <v>45179</v>
      </c>
      <c r="E48" t="inlineStr">
        <is>
          <t>Pending</t>
        </is>
      </c>
    </row>
    <row r="49">
      <c r="A49" t="inlineStr">
        <is>
          <t>EVT-1048</t>
        </is>
      </c>
      <c r="B49" t="inlineStr">
        <is>
          <t>Project W</t>
        </is>
      </c>
      <c r="C49" s="5" t="n">
        <v>45167</v>
      </c>
      <c r="D49" s="5" t="n">
        <v>45185</v>
      </c>
      <c r="E49" t="inlineStr">
        <is>
          <t>Active</t>
        </is>
      </c>
    </row>
    <row r="50">
      <c r="A50" t="inlineStr">
        <is>
          <t>EVT-1049</t>
        </is>
      </c>
      <c r="B50" t="inlineStr">
        <is>
          <t>Project X</t>
        </is>
      </c>
      <c r="C50" s="5" t="n">
        <v>45172</v>
      </c>
      <c r="D50" s="5" t="n">
        <v>45191</v>
      </c>
      <c r="E50" t="inlineStr">
        <is>
          <t>Pending</t>
        </is>
      </c>
    </row>
    <row r="51">
      <c r="A51" t="inlineStr">
        <is>
          <t>EVT-1050</t>
        </is>
      </c>
      <c r="B51" t="inlineStr">
        <is>
          <t>Project Y</t>
        </is>
      </c>
      <c r="C51" s="5" t="n">
        <v>45177</v>
      </c>
      <c r="D51" s="5" t="n">
        <v>45197</v>
      </c>
      <c r="E51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 #</t>
        </is>
      </c>
      <c r="B1" t="inlineStr">
        <is>
          <t>Challenge</t>
        </is>
      </c>
      <c r="C1" t="inlineStr">
        <is>
          <t>Expected Formula / Result</t>
        </is>
      </c>
    </row>
    <row r="2">
      <c r="A2" t="n">
        <v>1</v>
      </c>
      <c r="B2" t="inlineStr">
        <is>
          <t>Extract the Year from Start Date of EVT-1001</t>
        </is>
      </c>
      <c r="C2">
        <f>YEAR(Date_Source!C2)</f>
        <v/>
      </c>
    </row>
    <row r="3">
      <c r="A3" t="n">
        <v>2</v>
      </c>
      <c r="B3" t="inlineStr">
        <is>
          <t>Extract the Month (Number) from End Date of EVT-1001</t>
        </is>
      </c>
      <c r="C3">
        <f>MONTH(Date_Source!D2)</f>
        <v/>
      </c>
    </row>
    <row r="4">
      <c r="A4" t="n">
        <v>3</v>
      </c>
      <c r="B4" t="inlineStr">
        <is>
          <t>Extract the Day from Start Date of EVT-1001</t>
        </is>
      </c>
      <c r="C4">
        <f>DAY(Date_Source!C2)</f>
        <v/>
      </c>
    </row>
    <row r="5">
      <c r="A5" t="n">
        <v>4</v>
      </c>
      <c r="B5" t="inlineStr">
        <is>
          <t>Get the Day of the Week (Number) for EVT-1001 Start</t>
        </is>
      </c>
      <c r="C5">
        <f>WEEKDAY(Date_Source!C2)</f>
        <v/>
      </c>
    </row>
    <row r="6">
      <c r="A6" t="n">
        <v>5</v>
      </c>
      <c r="B6" t="inlineStr">
        <is>
          <t>Return Today's Date dynamically</t>
        </is>
      </c>
      <c r="C6">
        <f>TODAY()</f>
        <v/>
      </c>
    </row>
    <row r="7">
      <c r="A7" t="n">
        <v>6</v>
      </c>
      <c r="B7" t="inlineStr">
        <is>
          <t>Calculate Days between Start and End for EVT-1001</t>
        </is>
      </c>
      <c r="C7">
        <f>Date_Source!D2-Date_Source!C2</f>
        <v/>
      </c>
    </row>
    <row r="8">
      <c r="A8" t="n">
        <v>7</v>
      </c>
      <c r="B8" t="inlineStr">
        <is>
          <t>Add 30 days to EVT-1001 Start Date</t>
        </is>
      </c>
      <c r="C8">
        <f>Date_Source!C2+30</f>
        <v/>
      </c>
    </row>
    <row r="9">
      <c r="A9" t="n">
        <v>8</v>
      </c>
      <c r="B9" t="inlineStr">
        <is>
          <t>Date exactly 2 months after EVT-1001 Start</t>
        </is>
      </c>
      <c r="C9">
        <f>EDATE(Date_Source!C2,2)</f>
        <v/>
      </c>
    </row>
    <row r="10">
      <c r="A10" t="n">
        <v>9</v>
      </c>
      <c r="B10" t="inlineStr">
        <is>
          <t>Difference in MONTHS between Start and End (DATEDIF)</t>
        </is>
      </c>
      <c r="C10">
        <f>DATEDIF(Date_Source!C2,Date_Source!D2,"m")</f>
        <v/>
      </c>
    </row>
    <row r="11">
      <c r="A11" t="n">
        <v>10</v>
      </c>
      <c r="B11" t="inlineStr">
        <is>
          <t>Find the End of Month for EVT-1001 Start Date</t>
        </is>
      </c>
      <c r="C11">
        <f>EOMONTH(Date_Source!C2,0)</f>
        <v/>
      </c>
    </row>
    <row r="12">
      <c r="A12" t="n">
        <v>11</v>
      </c>
      <c r="B12" t="inlineStr">
        <is>
          <t>Find the End of Next Month for EVT-1001 Start</t>
        </is>
      </c>
      <c r="C12">
        <f>EOMONTH(Date_Source!C2,1)</f>
        <v/>
      </c>
    </row>
    <row r="13">
      <c r="A13" t="n">
        <v>12</v>
      </c>
      <c r="B13" t="inlineStr">
        <is>
          <t>Calculate Net Work Days for EVT-1001 (No Holidays)</t>
        </is>
      </c>
      <c r="C13">
        <f>NETWORKDAYS(Date_Source!C2,Date_Source!D2)</f>
        <v/>
      </c>
    </row>
    <row r="14">
      <c r="A14" t="n">
        <v>13</v>
      </c>
      <c r="B14" t="inlineStr">
        <is>
          <t>Date 5 Work Days after EVT-1001 Start</t>
        </is>
      </c>
      <c r="C14">
        <f>WORKDAY(Date_Source!C2,5)</f>
        <v/>
      </c>
    </row>
    <row r="15">
      <c r="A15" t="n">
        <v>14</v>
      </c>
      <c r="B15" t="inlineStr">
        <is>
          <t>Full Month Name for EVT-1001 Start</t>
        </is>
      </c>
      <c r="C15">
        <f>TEXT(Date_Source!C2,"mmmm")</f>
        <v/>
      </c>
    </row>
    <row r="16">
      <c r="A16" t="n">
        <v>15</v>
      </c>
      <c r="B16" t="inlineStr">
        <is>
          <t>Weekday Name (Full) for EVT-1001 Start</t>
        </is>
      </c>
      <c r="C16">
        <f>TEXT(Date_Source!C2,"dddd")</f>
        <v/>
      </c>
    </row>
    <row r="17">
      <c r="A17" t="n">
        <v>16</v>
      </c>
      <c r="B17" t="inlineStr">
        <is>
          <t>Advanced Task 16: Calculate logic for EVT-1016</t>
        </is>
      </c>
      <c r="C17">
        <f>Date_Source!C17+10</f>
        <v/>
      </c>
    </row>
    <row r="18">
      <c r="A18" t="n">
        <v>17</v>
      </c>
      <c r="B18" t="inlineStr">
        <is>
          <t>Advanced Task 17: Calculate logic for EVT-1017</t>
        </is>
      </c>
      <c r="C18">
        <f>Date_Source!C18+10</f>
        <v/>
      </c>
    </row>
    <row r="19">
      <c r="A19" t="n">
        <v>18</v>
      </c>
      <c r="B19" t="inlineStr">
        <is>
          <t>Advanced Task 18: Calculate logic for EVT-1018</t>
        </is>
      </c>
      <c r="C19">
        <f>Date_Source!C19+10</f>
        <v/>
      </c>
    </row>
    <row r="20">
      <c r="A20" t="n">
        <v>19</v>
      </c>
      <c r="B20" t="inlineStr">
        <is>
          <t>Advanced Task 19: Calculate logic for EVT-1019</t>
        </is>
      </c>
      <c r="C20">
        <f>Date_Source!C20+10</f>
        <v/>
      </c>
    </row>
    <row r="21">
      <c r="A21" t="n">
        <v>20</v>
      </c>
      <c r="B21" t="inlineStr">
        <is>
          <t>Advanced Task 20: Calculate logic for EVT-1020</t>
        </is>
      </c>
      <c r="C21">
        <f>Date_Source!C21+10</f>
        <v/>
      </c>
    </row>
    <row r="22">
      <c r="A22" t="n">
        <v>21</v>
      </c>
      <c r="B22" t="inlineStr">
        <is>
          <t>Advanced Task 21: Calculate logic for EVT-1021</t>
        </is>
      </c>
      <c r="C22">
        <f>Date_Source!C22+10</f>
        <v/>
      </c>
    </row>
    <row r="23">
      <c r="A23" t="n">
        <v>22</v>
      </c>
      <c r="B23" t="inlineStr">
        <is>
          <t>Advanced Task 22: Calculate logic for EVT-1022</t>
        </is>
      </c>
      <c r="C23">
        <f>Date_Source!C23+10</f>
        <v/>
      </c>
    </row>
    <row r="24">
      <c r="A24" t="n">
        <v>23</v>
      </c>
      <c r="B24" t="inlineStr">
        <is>
          <t>Advanced Task 23: Calculate logic for EVT-1023</t>
        </is>
      </c>
      <c r="C24">
        <f>Date_Source!C24+10</f>
        <v/>
      </c>
    </row>
    <row r="25">
      <c r="A25" t="n">
        <v>24</v>
      </c>
      <c r="B25" t="inlineStr">
        <is>
          <t>Advanced Task 24: Calculate logic for EVT-1024</t>
        </is>
      </c>
      <c r="C25">
        <f>Date_Source!C25+10</f>
        <v/>
      </c>
    </row>
    <row r="26">
      <c r="A26" t="n">
        <v>25</v>
      </c>
      <c r="B26" t="inlineStr">
        <is>
          <t>Advanced Task 25: Calculate logic for EVT-1025</t>
        </is>
      </c>
      <c r="C26">
        <f>Date_Source!C26+10</f>
        <v/>
      </c>
    </row>
    <row r="27">
      <c r="A27" t="n">
        <v>26</v>
      </c>
      <c r="B27" t="inlineStr">
        <is>
          <t>Advanced Task 26: Calculate logic for EVT-1026</t>
        </is>
      </c>
      <c r="C27">
        <f>Date_Source!C27+10</f>
        <v/>
      </c>
    </row>
    <row r="28">
      <c r="A28" t="n">
        <v>27</v>
      </c>
      <c r="B28" t="inlineStr">
        <is>
          <t>Advanced Task 27: Calculate logic for EVT-1027</t>
        </is>
      </c>
      <c r="C28">
        <f>Date_Source!C28+10</f>
        <v/>
      </c>
    </row>
    <row r="29">
      <c r="A29" t="n">
        <v>28</v>
      </c>
      <c r="B29" t="inlineStr">
        <is>
          <t>Advanced Task 28: Calculate logic for EVT-1028</t>
        </is>
      </c>
      <c r="C29">
        <f>Date_Source!C29+10</f>
        <v/>
      </c>
    </row>
    <row r="30">
      <c r="A30" t="n">
        <v>29</v>
      </c>
      <c r="B30" t="inlineStr">
        <is>
          <t>Advanced Task 29: Calculate logic for EVT-1029</t>
        </is>
      </c>
      <c r="C30">
        <f>Date_Source!C30+10</f>
        <v/>
      </c>
    </row>
    <row r="31">
      <c r="A31" t="n">
        <v>30</v>
      </c>
      <c r="B31" t="inlineStr">
        <is>
          <t>Advanced Task 30: Calculate logic for EVT-1030</t>
        </is>
      </c>
      <c r="C31">
        <f>Date_Source!C31+10</f>
        <v/>
      </c>
    </row>
    <row r="32">
      <c r="A32" t="n">
        <v>31</v>
      </c>
      <c r="B32" t="inlineStr">
        <is>
          <t>Advanced Task 31: Calculate logic for EVT-1031</t>
        </is>
      </c>
      <c r="C32">
        <f>Date_Source!C32+10</f>
        <v/>
      </c>
    </row>
    <row r="33">
      <c r="A33" t="n">
        <v>32</v>
      </c>
      <c r="B33" t="inlineStr">
        <is>
          <t>Advanced Task 32: Calculate logic for EVT-1032</t>
        </is>
      </c>
      <c r="C33">
        <f>Date_Source!C33+10</f>
        <v/>
      </c>
    </row>
    <row r="34">
      <c r="A34" t="n">
        <v>33</v>
      </c>
      <c r="B34" t="inlineStr">
        <is>
          <t>Advanced Task 33: Calculate logic for EVT-1033</t>
        </is>
      </c>
      <c r="C34">
        <f>Date_Source!C34+10</f>
        <v/>
      </c>
    </row>
    <row r="35">
      <c r="A35" t="n">
        <v>34</v>
      </c>
      <c r="B35" t="inlineStr">
        <is>
          <t>Advanced Task 34: Calculate logic for EVT-1034</t>
        </is>
      </c>
      <c r="C35">
        <f>Date_Source!C35+10</f>
        <v/>
      </c>
    </row>
    <row r="36">
      <c r="A36" t="n">
        <v>35</v>
      </c>
      <c r="B36" t="inlineStr">
        <is>
          <t>Advanced Task 35: Calculate logic for EVT-1035</t>
        </is>
      </c>
      <c r="C36">
        <f>Date_Source!C36+10</f>
        <v/>
      </c>
    </row>
    <row r="37">
      <c r="A37" t="n">
        <v>36</v>
      </c>
      <c r="B37" t="inlineStr">
        <is>
          <t>Advanced Task 36: Calculate logic for EVT-1036</t>
        </is>
      </c>
      <c r="C37">
        <f>Date_Source!C37+10</f>
        <v/>
      </c>
    </row>
    <row r="38">
      <c r="A38" t="n">
        <v>37</v>
      </c>
      <c r="B38" t="inlineStr">
        <is>
          <t>Advanced Task 37: Calculate logic for EVT-1037</t>
        </is>
      </c>
      <c r="C38">
        <f>Date_Source!C38+10</f>
        <v/>
      </c>
    </row>
    <row r="39">
      <c r="A39" t="n">
        <v>38</v>
      </c>
      <c r="B39" t="inlineStr">
        <is>
          <t>Advanced Task 38: Calculate logic for EVT-1038</t>
        </is>
      </c>
      <c r="C39">
        <f>Date_Source!C39+10</f>
        <v/>
      </c>
    </row>
    <row r="40">
      <c r="A40" t="n">
        <v>39</v>
      </c>
      <c r="B40" t="inlineStr">
        <is>
          <t>Advanced Task 39: Calculate logic for EVT-1039</t>
        </is>
      </c>
      <c r="C40">
        <f>Date_Source!C40+10</f>
        <v/>
      </c>
    </row>
    <row r="41">
      <c r="A41" t="n">
        <v>40</v>
      </c>
      <c r="B41" t="inlineStr">
        <is>
          <t>Advanced Task 40: Calculate logic for EVT-1040</t>
        </is>
      </c>
      <c r="C41">
        <f>Date_Source!C41+10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35" customWidth="1" min="3" max="3"/>
    <col width="20" customWidth="1" min="4" max="4"/>
  </cols>
  <sheetData>
    <row r="2">
      <c r="B2" s="1" t="inlineStr">
        <is>
          <t>DATE &amp; TIME INTELLIGENCE DRILL</t>
        </is>
      </c>
    </row>
    <row r="6">
      <c r="B6" s="6" t="inlineStr">
        <is>
          <t>1. Extract the Year from Start Date of EVT-1001</t>
        </is>
      </c>
      <c r="C6" s="7" t="inlineStr"/>
      <c r="D6" s="8">
        <f>IF(C6="","[ Pending ]", IF(C6=The_Archive!C2, "✅ Correct", "❌ Try Again"))</f>
        <v/>
      </c>
    </row>
    <row r="8">
      <c r="B8" s="6" t="inlineStr">
        <is>
          <t>2. Extract the Month (Number) from End Date of EVT-1001</t>
        </is>
      </c>
      <c r="C8" s="7" t="inlineStr"/>
      <c r="D8" s="8">
        <f>IF(C8="","[ Pending ]", IF(C8=The_Archive!C3, "✅ Correct", "❌ Try Again"))</f>
        <v/>
      </c>
    </row>
    <row r="10">
      <c r="B10" s="6" t="inlineStr">
        <is>
          <t>3. Extract the Day from Start Date of EVT-1001</t>
        </is>
      </c>
      <c r="C10" s="7" t="inlineStr"/>
      <c r="D10" s="8">
        <f>IF(C10="","[ Pending ]", IF(C10=The_Archive!C4, "✅ Correct", "❌ Try Again"))</f>
        <v/>
      </c>
    </row>
    <row r="12">
      <c r="B12" s="6" t="inlineStr">
        <is>
          <t>4. Get the Day of the Week (Number) for EVT-1001 Start</t>
        </is>
      </c>
      <c r="C12" s="7" t="inlineStr"/>
      <c r="D12" s="8">
        <f>IF(C12="","[ Pending ]", IF(C12=The_Archive!C5, "✅ Correct", "❌ Try Again"))</f>
        <v/>
      </c>
    </row>
    <row r="14">
      <c r="B14" s="6" t="inlineStr">
        <is>
          <t>5. Return Today's Date dynamically</t>
        </is>
      </c>
      <c r="C14" s="7" t="inlineStr"/>
      <c r="D14" s="8">
        <f>IF(C14="","[ Pending ]", IF(C14=The_Archive!C6, "✅ Correct", "❌ Try Again"))</f>
        <v/>
      </c>
    </row>
    <row r="16">
      <c r="B16" s="6" t="inlineStr">
        <is>
          <t>6. Calculate Days between Start and End for EVT-1001</t>
        </is>
      </c>
      <c r="C16" s="7" t="inlineStr"/>
      <c r="D16" s="8">
        <f>IF(C16="","[ Pending ]", IF(C16=The_Archive!C7, "✅ Correct", "❌ Try Again"))</f>
        <v/>
      </c>
    </row>
    <row r="18">
      <c r="B18" s="6" t="inlineStr">
        <is>
          <t>7. Add 30 days to EVT-1001 Start Date</t>
        </is>
      </c>
      <c r="C18" s="7" t="inlineStr"/>
      <c r="D18" s="8">
        <f>IF(C18="","[ Pending ]", IF(C18=The_Archive!C8, "✅ Correct", "❌ Try Again"))</f>
        <v/>
      </c>
    </row>
    <row r="20">
      <c r="B20" s="6" t="inlineStr">
        <is>
          <t>8. Date exactly 2 months after EVT-1001 Start</t>
        </is>
      </c>
      <c r="C20" s="7" t="inlineStr"/>
      <c r="D20" s="8">
        <f>IF(C20="","[ Pending ]", IF(C20=The_Archive!C9, "✅ Correct", "❌ Try Again"))</f>
        <v/>
      </c>
    </row>
    <row r="22">
      <c r="B22" s="6" t="inlineStr">
        <is>
          <t>9. Difference in MONTHS between Start and End (DATEDIF)</t>
        </is>
      </c>
      <c r="C22" s="7" t="inlineStr"/>
      <c r="D22" s="8">
        <f>IF(C22="","[ Pending ]", IF(C22=The_Archive!C10, "✅ Correct", "❌ Try Again"))</f>
        <v/>
      </c>
    </row>
    <row r="24">
      <c r="B24" s="6" t="inlineStr">
        <is>
          <t>10. Find the End of Month for EVT-1001 Start Date</t>
        </is>
      </c>
      <c r="C24" s="7" t="inlineStr"/>
      <c r="D24" s="8">
        <f>IF(C24="","[ Pending ]", IF(C24=The_Archive!C11, "✅ Correct", "❌ Try Again"))</f>
        <v/>
      </c>
    </row>
    <row r="26">
      <c r="B26" s="6" t="inlineStr">
        <is>
          <t>11. Find the End of Next Month for EVT-1001 Start</t>
        </is>
      </c>
      <c r="C26" s="7" t="inlineStr"/>
      <c r="D26" s="8">
        <f>IF(C26="","[ Pending ]", IF(C26=The_Archive!C12, "✅ Correct", "❌ Try Again"))</f>
        <v/>
      </c>
    </row>
    <row r="28">
      <c r="B28" s="6" t="inlineStr">
        <is>
          <t>12. Calculate Net Work Days for EVT-1001 (No Holidays)</t>
        </is>
      </c>
      <c r="C28" s="7" t="inlineStr"/>
      <c r="D28" s="8">
        <f>IF(C28="","[ Pending ]", IF(C28=The_Archive!C13, "✅ Correct", "❌ Try Again"))</f>
        <v/>
      </c>
    </row>
    <row r="30">
      <c r="B30" s="6" t="inlineStr">
        <is>
          <t>13. Date 5 Work Days after EVT-1001 Start</t>
        </is>
      </c>
      <c r="C30" s="7" t="inlineStr"/>
      <c r="D30" s="8">
        <f>IF(C30="","[ Pending ]", IF(C30=The_Archive!C14, "✅ Correct", "❌ Try Again"))</f>
        <v/>
      </c>
    </row>
    <row r="32">
      <c r="B32" s="6" t="inlineStr">
        <is>
          <t>14. Full Month Name for EVT-1001 Start</t>
        </is>
      </c>
      <c r="C32" s="7" t="inlineStr"/>
      <c r="D32" s="8">
        <f>IF(C32="","[ Pending ]", IF(C32=The_Archive!C15, "✅ Correct", "❌ Try Again"))</f>
        <v/>
      </c>
    </row>
    <row r="34">
      <c r="B34" s="6" t="inlineStr">
        <is>
          <t>15. Weekday Name (Full) for EVT-1001 Start</t>
        </is>
      </c>
      <c r="C34" s="7" t="inlineStr"/>
      <c r="D34" s="8">
        <f>IF(C34="","[ Pending ]", IF(C34=The_Archive!C16, "✅ Correct", "❌ Try Again"))</f>
        <v/>
      </c>
    </row>
    <row r="36">
      <c r="B36" s="6" t="inlineStr">
        <is>
          <t>16. Advanced Task 16: Calculate logic for EVT-1016</t>
        </is>
      </c>
      <c r="C36" s="7" t="n"/>
      <c r="D36" s="8">
        <f>IF(C36="","[ Pending ]", IF(C36=The_Archive!C17, "✅ Correct", "❌ Try Again"))</f>
        <v/>
      </c>
    </row>
    <row r="38">
      <c r="B38" s="6" t="inlineStr">
        <is>
          <t>17. Advanced Task 17: Calculate logic for EVT-1017</t>
        </is>
      </c>
      <c r="C38" s="7" t="n"/>
      <c r="D38" s="8">
        <f>IF(C38="","[ Pending ]", IF(C38=The_Archive!C18, "✅ Correct", "❌ Try Again"))</f>
        <v/>
      </c>
    </row>
    <row r="40">
      <c r="B40" s="6" t="inlineStr">
        <is>
          <t>18. Advanced Task 18: Calculate logic for EVT-1018</t>
        </is>
      </c>
      <c r="C40" s="7" t="n"/>
      <c r="D40" s="8">
        <f>IF(C40="","[ Pending ]", IF(C40=The_Archive!C19, "✅ Correct", "❌ Try Again"))</f>
        <v/>
      </c>
    </row>
    <row r="42">
      <c r="B42" s="6" t="inlineStr">
        <is>
          <t>19. Advanced Task 19: Calculate logic for EVT-1019</t>
        </is>
      </c>
      <c r="C42" s="7" t="n"/>
      <c r="D42" s="8">
        <f>IF(C42="","[ Pending ]", IF(C42=The_Archive!C20, "✅ Correct", "❌ Try Again"))</f>
        <v/>
      </c>
    </row>
    <row r="44">
      <c r="B44" s="6" t="inlineStr">
        <is>
          <t>20. Advanced Task 20: Calculate logic for EVT-1020</t>
        </is>
      </c>
      <c r="C44" s="7" t="n"/>
      <c r="D44" s="8">
        <f>IF(C44="","[ Pending ]", IF(C44=The_Archive!C21, "✅ Correct", "❌ Try Again"))</f>
        <v/>
      </c>
    </row>
    <row r="46">
      <c r="B46" s="6" t="inlineStr">
        <is>
          <t>21. Advanced Task 21: Calculate logic for EVT-1021</t>
        </is>
      </c>
      <c r="C46" s="7" t="n"/>
      <c r="D46" s="8">
        <f>IF(C46="","[ Pending ]", IF(C46=The_Archive!C22, "✅ Correct", "❌ Try Again"))</f>
        <v/>
      </c>
    </row>
    <row r="48">
      <c r="B48" s="6" t="inlineStr">
        <is>
          <t>22. Advanced Task 22: Calculate logic for EVT-1022</t>
        </is>
      </c>
      <c r="C48" s="7" t="n"/>
      <c r="D48" s="8">
        <f>IF(C48="","[ Pending ]", IF(C48=The_Archive!C23, "✅ Correct", "❌ Try Again"))</f>
        <v/>
      </c>
    </row>
    <row r="50">
      <c r="B50" s="6" t="inlineStr">
        <is>
          <t>23. Advanced Task 23: Calculate logic for EVT-1023</t>
        </is>
      </c>
      <c r="C50" s="7" t="n"/>
      <c r="D50" s="8">
        <f>IF(C50="","[ Pending ]", IF(C50=The_Archive!C24, "✅ Correct", "❌ Try Again"))</f>
        <v/>
      </c>
    </row>
    <row r="52">
      <c r="B52" s="6" t="inlineStr">
        <is>
          <t>24. Advanced Task 24: Calculate logic for EVT-1024</t>
        </is>
      </c>
      <c r="C52" s="7" t="n"/>
      <c r="D52" s="8">
        <f>IF(C52="","[ Pending ]", IF(C52=The_Archive!C25, "✅ Correct", "❌ Try Again"))</f>
        <v/>
      </c>
    </row>
    <row r="54">
      <c r="B54" s="6" t="inlineStr">
        <is>
          <t>25. Advanced Task 25: Calculate logic for EVT-1025</t>
        </is>
      </c>
      <c r="C54" s="7" t="n"/>
      <c r="D54" s="8">
        <f>IF(C54="","[ Pending ]", IF(C54=The_Archive!C26, "✅ Correct", "❌ Try Again"))</f>
        <v/>
      </c>
    </row>
    <row r="56">
      <c r="B56" s="6" t="inlineStr">
        <is>
          <t>26. Advanced Task 26: Calculate logic for EVT-1026</t>
        </is>
      </c>
      <c r="C56" s="7" t="n"/>
      <c r="D56" s="8">
        <f>IF(C56="","[ Pending ]", IF(C56=The_Archive!C27, "✅ Correct", "❌ Try Again"))</f>
        <v/>
      </c>
    </row>
    <row r="58">
      <c r="B58" s="6" t="inlineStr">
        <is>
          <t>27. Advanced Task 27: Calculate logic for EVT-1027</t>
        </is>
      </c>
      <c r="C58" s="7" t="n"/>
      <c r="D58" s="8">
        <f>IF(C58="","[ Pending ]", IF(C58=The_Archive!C28, "✅ Correct", "❌ Try Again"))</f>
        <v/>
      </c>
    </row>
    <row r="60">
      <c r="B60" s="6" t="inlineStr">
        <is>
          <t>28. Advanced Task 28: Calculate logic for EVT-1028</t>
        </is>
      </c>
      <c r="C60" s="7" t="n"/>
      <c r="D60" s="8">
        <f>IF(C60="","[ Pending ]", IF(C60=The_Archive!C29, "✅ Correct", "❌ Try Again"))</f>
        <v/>
      </c>
    </row>
    <row r="62">
      <c r="B62" s="6" t="inlineStr">
        <is>
          <t>29. Advanced Task 29: Calculate logic for EVT-1029</t>
        </is>
      </c>
      <c r="C62" s="7" t="n"/>
      <c r="D62" s="8">
        <f>IF(C62="","[ Pending ]", IF(C62=The_Archive!C30, "✅ Correct", "❌ Try Again"))</f>
        <v/>
      </c>
    </row>
    <row r="64">
      <c r="B64" s="6" t="inlineStr">
        <is>
          <t>30. Advanced Task 30: Calculate logic for EVT-1030</t>
        </is>
      </c>
      <c r="C64" s="7" t="n"/>
      <c r="D64" s="8">
        <f>IF(C64="","[ Pending ]", IF(C64=The_Archive!C31, "✅ Correct", "❌ Try Again"))</f>
        <v/>
      </c>
    </row>
    <row r="66">
      <c r="B66" s="6" t="inlineStr">
        <is>
          <t>31. Advanced Task 31: Calculate logic for EVT-1031</t>
        </is>
      </c>
      <c r="C66" s="7" t="n"/>
      <c r="D66" s="8">
        <f>IF(C66="","[ Pending ]", IF(C66=The_Archive!C32, "✅ Correct", "❌ Try Again"))</f>
        <v/>
      </c>
    </row>
    <row r="68">
      <c r="B68" s="6" t="inlineStr">
        <is>
          <t>32. Advanced Task 32: Calculate logic for EVT-1032</t>
        </is>
      </c>
      <c r="C68" s="7" t="n"/>
      <c r="D68" s="8">
        <f>IF(C68="","[ Pending ]", IF(C68=The_Archive!C33, "✅ Correct", "❌ Try Again"))</f>
        <v/>
      </c>
    </row>
    <row r="70">
      <c r="B70" s="6" t="inlineStr">
        <is>
          <t>33. Advanced Task 33: Calculate logic for EVT-1033</t>
        </is>
      </c>
      <c r="C70" s="7" t="n"/>
      <c r="D70" s="8">
        <f>IF(C70="","[ Pending ]", IF(C70=The_Archive!C34, "✅ Correct", "❌ Try Again"))</f>
        <v/>
      </c>
    </row>
    <row r="72">
      <c r="B72" s="6" t="inlineStr">
        <is>
          <t>34. Advanced Task 34: Calculate logic for EVT-1034</t>
        </is>
      </c>
      <c r="C72" s="7" t="n"/>
      <c r="D72" s="8">
        <f>IF(C72="","[ Pending ]", IF(C72=The_Archive!C35, "✅ Correct", "❌ Try Again"))</f>
        <v/>
      </c>
    </row>
    <row r="74">
      <c r="B74" s="6" t="inlineStr">
        <is>
          <t>35. Advanced Task 35: Calculate logic for EVT-1035</t>
        </is>
      </c>
      <c r="C74" s="7" t="n"/>
      <c r="D74" s="8">
        <f>IF(C74="","[ Pending ]", IF(C74=The_Archive!C36, "✅ Correct", "❌ Try Again"))</f>
        <v/>
      </c>
    </row>
    <row r="76">
      <c r="B76" s="6" t="inlineStr">
        <is>
          <t>36. Advanced Task 36: Calculate logic for EVT-1036</t>
        </is>
      </c>
      <c r="C76" s="7" t="n"/>
      <c r="D76" s="8">
        <f>IF(C76="","[ Pending ]", IF(C76=The_Archive!C37, "✅ Correct", "❌ Try Again"))</f>
        <v/>
      </c>
    </row>
    <row r="78">
      <c r="B78" s="6" t="inlineStr">
        <is>
          <t>37. Advanced Task 37: Calculate logic for EVT-1037</t>
        </is>
      </c>
      <c r="C78" s="7" t="n"/>
      <c r="D78" s="8">
        <f>IF(C78="","[ Pending ]", IF(C78=The_Archive!C38, "✅ Correct", "❌ Try Again"))</f>
        <v/>
      </c>
    </row>
    <row r="80">
      <c r="B80" s="6" t="inlineStr">
        <is>
          <t>38. Advanced Task 38: Calculate logic for EVT-1038</t>
        </is>
      </c>
      <c r="C80" s="7" t="n"/>
      <c r="D80" s="8">
        <f>IF(C80="","[ Pending ]", IF(C80=The_Archive!C39, "✅ Correct", "❌ Try Again"))</f>
        <v/>
      </c>
    </row>
    <row r="82">
      <c r="B82" s="6" t="inlineStr">
        <is>
          <t>39. Advanced Task 39: Calculate logic for EVT-1039</t>
        </is>
      </c>
      <c r="C82" s="7" t="n"/>
      <c r="D82" s="8">
        <f>IF(C82="","[ Pending ]", IF(C82=The_Archive!C40, "✅ Correct", "❌ Try Again"))</f>
        <v/>
      </c>
    </row>
    <row r="84">
      <c r="B84" s="6" t="inlineStr">
        <is>
          <t>40. Advanced Task 40: Calculate logic for EVT-1040</t>
        </is>
      </c>
      <c r="C84" s="7" t="n"/>
      <c r="D84" s="8">
        <f>IF(C84="","[ Pending ]", IF(C84=The_Archive!C41, "✅ Correct", "❌ Try Again"))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2026-05-06T20:40:17Z</dcterms:created>
  <dcterms:modified xmlns:dcterms="http://purl.org/dc/terms/" xmlns:xsi="http://www.w3.org/2001/XMLSchema-instance" xsi:type="dcterms:W3CDTF">2026-05-06T20:40:17Z</dcterms:modified>
</cp:coreProperties>
</file>