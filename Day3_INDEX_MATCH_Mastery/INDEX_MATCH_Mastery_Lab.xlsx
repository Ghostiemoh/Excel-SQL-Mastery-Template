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atrix_Data" sheetId="2" state="visible" r:id="rId2"/>
    <sheet xmlns:r="http://schemas.openxmlformats.org/officeDocument/2006/relationships" name="The_Archive" sheetId="3" state="visible" r:id="rId3"/>
    <sheet xmlns:r="http://schemas.openxmlformats.org/officeDocument/2006/relationships" name="Mastery_La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Outfit"/>
      <b val="1"/>
      <color rgb="00059669"/>
      <sz val="28"/>
    </font>
    <font>
      <name val="Inter"/>
      <i val="1"/>
      <color rgb="0027272A"/>
      <sz val="10"/>
    </font>
    <font>
      <name val="Inter"/>
      <b val="1"/>
      <color rgb="00FFFFFF"/>
    </font>
    <font>
      <name val="Inter"/>
      <b val="1"/>
      <color rgb="0027272A"/>
      <sz val="11"/>
    </font>
  </fonts>
  <fills count="4">
    <fill>
      <patternFill/>
    </fill>
    <fill>
      <patternFill patternType="gray125"/>
    </fill>
    <fill>
      <patternFill patternType="solid">
        <fgColor rgb="00059669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medium">
        <color rgb="00059669"/>
      </left>
      <right style="thin">
        <color rgb="0027272A"/>
      </right>
      <top style="thin">
        <color rgb="0027272A"/>
      </top>
      <bottom style="thin">
        <color rgb="0027272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3" borderId="1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0:B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0" customWidth="1" min="2" max="2"/>
    <col width="35" customWidth="1" min="3" max="3"/>
    <col width="20" customWidth="1" min="4" max="4"/>
  </cols>
  <sheetData>
    <row r="10">
      <c r="B10" s="1" t="inlineStr">
        <is>
          <t>Day 3: INDEX &amp; MATCH Architecture</t>
        </is>
      </c>
    </row>
    <row r="12">
      <c r="B12" s="2" t="inlineStr">
        <is>
          <t>Bulletproof lookups. The most modular way to retrieve data in Excel. Learn 2-way matrix lookups.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Q1 Sales</t>
        </is>
      </c>
      <c r="C1" s="3" t="inlineStr">
        <is>
          <t>Q2 Sales</t>
        </is>
      </c>
      <c r="D1" s="3" t="inlineStr">
        <is>
          <t>Q3 Sales</t>
        </is>
      </c>
      <c r="E1" s="3" t="inlineStr">
        <is>
          <t>Q4 Sales</t>
        </is>
      </c>
    </row>
    <row r="2">
      <c r="A2" t="inlineStr">
        <is>
          <t>EMP-101</t>
        </is>
      </c>
      <c r="B2" t="n">
        <v>4066</v>
      </c>
      <c r="C2" t="n">
        <v>3501</v>
      </c>
      <c r="D2" t="n">
        <v>3355</v>
      </c>
      <c r="E2" t="n">
        <v>1035</v>
      </c>
    </row>
    <row r="3">
      <c r="A3" t="inlineStr">
        <is>
          <t>EMP-102</t>
        </is>
      </c>
      <c r="B3" t="n">
        <v>2953</v>
      </c>
      <c r="C3" t="n">
        <v>2916</v>
      </c>
      <c r="D3" t="n">
        <v>4565</v>
      </c>
      <c r="E3" t="n">
        <v>1792</v>
      </c>
    </row>
    <row r="4">
      <c r="A4" t="inlineStr">
        <is>
          <t>EMP-103</t>
        </is>
      </c>
      <c r="B4" t="n">
        <v>2739</v>
      </c>
      <c r="C4" t="n">
        <v>2845</v>
      </c>
      <c r="D4" t="n">
        <v>3013</v>
      </c>
      <c r="E4" t="n">
        <v>4431</v>
      </c>
    </row>
    <row r="5">
      <c r="A5" t="inlineStr">
        <is>
          <t>EMP-104</t>
        </is>
      </c>
      <c r="B5" t="n">
        <v>4093</v>
      </c>
      <c r="C5" t="n">
        <v>1801</v>
      </c>
      <c r="D5" t="n">
        <v>1704</v>
      </c>
      <c r="E5" t="n">
        <v>3212</v>
      </c>
    </row>
    <row r="6">
      <c r="A6" t="inlineStr">
        <is>
          <t>EMP-105</t>
        </is>
      </c>
      <c r="B6" t="n">
        <v>4925</v>
      </c>
      <c r="C6" t="n">
        <v>3613</v>
      </c>
      <c r="D6" t="n">
        <v>4751</v>
      </c>
      <c r="E6" t="n">
        <v>1575</v>
      </c>
    </row>
    <row r="7">
      <c r="A7" t="inlineStr">
        <is>
          <t>EMP-106</t>
        </is>
      </c>
      <c r="B7" t="n">
        <v>4903</v>
      </c>
      <c r="C7" t="n">
        <v>3578</v>
      </c>
      <c r="D7" t="n">
        <v>1389</v>
      </c>
      <c r="E7" t="n">
        <v>3677</v>
      </c>
    </row>
    <row r="8">
      <c r="A8" t="inlineStr">
        <is>
          <t>EMP-107</t>
        </is>
      </c>
      <c r="B8" t="n">
        <v>2693</v>
      </c>
      <c r="C8" t="n">
        <v>2309</v>
      </c>
      <c r="D8" t="n">
        <v>1855</v>
      </c>
      <c r="E8" t="n">
        <v>3869</v>
      </c>
    </row>
    <row r="9">
      <c r="A9" t="inlineStr">
        <is>
          <t>EMP-108</t>
        </is>
      </c>
      <c r="B9" t="n">
        <v>2337</v>
      </c>
      <c r="C9" t="n">
        <v>3959</v>
      </c>
      <c r="D9" t="n">
        <v>1691</v>
      </c>
      <c r="E9" t="n">
        <v>4382</v>
      </c>
    </row>
    <row r="10">
      <c r="A10" t="inlineStr">
        <is>
          <t>EMP-109</t>
        </is>
      </c>
      <c r="B10" t="n">
        <v>1513</v>
      </c>
      <c r="C10" t="n">
        <v>2767</v>
      </c>
      <c r="D10" t="n">
        <v>2469</v>
      </c>
      <c r="E10" t="n">
        <v>3976</v>
      </c>
    </row>
    <row r="11">
      <c r="A11" t="inlineStr">
        <is>
          <t>EMP-110</t>
        </is>
      </c>
      <c r="B11" t="n">
        <v>2502</v>
      </c>
      <c r="C11" t="n">
        <v>4342</v>
      </c>
      <c r="D11" t="n">
        <v>3493</v>
      </c>
      <c r="E11" t="n">
        <v>1136</v>
      </c>
    </row>
    <row r="12">
      <c r="A12" t="inlineStr">
        <is>
          <t>EMP-111</t>
        </is>
      </c>
      <c r="B12" t="n">
        <v>1141</v>
      </c>
      <c r="C12" t="n">
        <v>2444</v>
      </c>
      <c r="D12" t="n">
        <v>2162</v>
      </c>
      <c r="E12" t="n">
        <v>1418</v>
      </c>
    </row>
    <row r="13">
      <c r="A13" t="inlineStr">
        <is>
          <t>EMP-112</t>
        </is>
      </c>
      <c r="B13" t="n">
        <v>4912</v>
      </c>
      <c r="C13" t="n">
        <v>1613</v>
      </c>
      <c r="D13" t="n">
        <v>1240</v>
      </c>
      <c r="E13" t="n">
        <v>4884</v>
      </c>
    </row>
    <row r="14">
      <c r="A14" t="inlineStr">
        <is>
          <t>EMP-113</t>
        </is>
      </c>
      <c r="B14" t="n">
        <v>2060</v>
      </c>
      <c r="C14" t="n">
        <v>4717</v>
      </c>
      <c r="D14" t="n">
        <v>4575</v>
      </c>
      <c r="E14" t="n">
        <v>3938</v>
      </c>
    </row>
    <row r="15">
      <c r="A15" t="inlineStr">
        <is>
          <t>EMP-114</t>
        </is>
      </c>
      <c r="B15" t="n">
        <v>2397</v>
      </c>
      <c r="C15" t="n">
        <v>3470</v>
      </c>
      <c r="D15" t="n">
        <v>3334</v>
      </c>
      <c r="E15" t="n">
        <v>4388</v>
      </c>
    </row>
    <row r="16">
      <c r="A16" t="inlineStr">
        <is>
          <t>EMP-115</t>
        </is>
      </c>
      <c r="B16" t="n">
        <v>3329</v>
      </c>
      <c r="C16" t="n">
        <v>2523</v>
      </c>
      <c r="D16" t="n">
        <v>1411</v>
      </c>
      <c r="E16" t="n">
        <v>4172</v>
      </c>
    </row>
    <row r="17">
      <c r="A17" t="inlineStr">
        <is>
          <t>EMP-116</t>
        </is>
      </c>
      <c r="B17" t="n">
        <v>2843</v>
      </c>
      <c r="C17" t="n">
        <v>2167</v>
      </c>
      <c r="D17" t="n">
        <v>3544</v>
      </c>
      <c r="E17" t="n">
        <v>4839</v>
      </c>
    </row>
    <row r="18">
      <c r="A18" t="inlineStr">
        <is>
          <t>EMP-117</t>
        </is>
      </c>
      <c r="B18" t="n">
        <v>1876</v>
      </c>
      <c r="C18" t="n">
        <v>3255</v>
      </c>
      <c r="D18" t="n">
        <v>1051</v>
      </c>
      <c r="E18" t="n">
        <v>3926</v>
      </c>
    </row>
    <row r="19">
      <c r="A19" t="inlineStr">
        <is>
          <t>EMP-118</t>
        </is>
      </c>
      <c r="B19" t="n">
        <v>2789</v>
      </c>
      <c r="C19" t="n">
        <v>2690</v>
      </c>
      <c r="D19" t="n">
        <v>3916</v>
      </c>
      <c r="E19" t="n">
        <v>4420</v>
      </c>
    </row>
    <row r="20">
      <c r="A20" t="inlineStr">
        <is>
          <t>EMP-119</t>
        </is>
      </c>
      <c r="B20" t="n">
        <v>1314</v>
      </c>
      <c r="C20" t="n">
        <v>4688</v>
      </c>
      <c r="D20" t="n">
        <v>2659</v>
      </c>
      <c r="E20" t="n">
        <v>1162</v>
      </c>
    </row>
    <row r="21">
      <c r="A21" t="inlineStr">
        <is>
          <t>EMP-120</t>
        </is>
      </c>
      <c r="B21" t="n">
        <v>2015</v>
      </c>
      <c r="C21" t="n">
        <v>1776</v>
      </c>
      <c r="D21" t="n">
        <v>1612</v>
      </c>
      <c r="E21" t="n">
        <v>4969</v>
      </c>
    </row>
    <row r="22">
      <c r="A22" t="inlineStr">
        <is>
          <t>EMP-121</t>
        </is>
      </c>
      <c r="B22" t="n">
        <v>4714</v>
      </c>
      <c r="C22" t="n">
        <v>4743</v>
      </c>
      <c r="D22" t="n">
        <v>3896</v>
      </c>
      <c r="E22" t="n">
        <v>2096</v>
      </c>
    </row>
    <row r="23">
      <c r="A23" t="inlineStr">
        <is>
          <t>EMP-122</t>
        </is>
      </c>
      <c r="B23" t="n">
        <v>3562</v>
      </c>
      <c r="C23" t="n">
        <v>3731</v>
      </c>
      <c r="D23" t="n">
        <v>1657</v>
      </c>
      <c r="E23" t="n">
        <v>2465</v>
      </c>
    </row>
    <row r="24">
      <c r="A24" t="inlineStr">
        <is>
          <t>EMP-123</t>
        </is>
      </c>
      <c r="B24" t="n">
        <v>3125</v>
      </c>
      <c r="C24" t="n">
        <v>4055</v>
      </c>
      <c r="D24" t="n">
        <v>2181</v>
      </c>
      <c r="E24" t="n">
        <v>3513</v>
      </c>
    </row>
    <row r="25">
      <c r="A25" t="inlineStr">
        <is>
          <t>EMP-124</t>
        </is>
      </c>
      <c r="B25" t="n">
        <v>3171</v>
      </c>
      <c r="C25" t="n">
        <v>3916</v>
      </c>
      <c r="D25" t="n">
        <v>1184</v>
      </c>
      <c r="E25" t="n">
        <v>1647</v>
      </c>
    </row>
    <row r="26">
      <c r="A26" t="inlineStr">
        <is>
          <t>EMP-125</t>
        </is>
      </c>
      <c r="B26" t="n">
        <v>4634</v>
      </c>
      <c r="C26" t="n">
        <v>2920</v>
      </c>
      <c r="D26" t="n">
        <v>4423</v>
      </c>
      <c r="E26" t="n">
        <v>3511</v>
      </c>
    </row>
    <row r="27">
      <c r="A27" t="inlineStr">
        <is>
          <t>EMP-126</t>
        </is>
      </c>
      <c r="B27" t="n">
        <v>1108</v>
      </c>
      <c r="C27" t="n">
        <v>4077</v>
      </c>
      <c r="D27" t="n">
        <v>3882</v>
      </c>
      <c r="E27" t="n">
        <v>3694</v>
      </c>
    </row>
    <row r="28">
      <c r="A28" t="inlineStr">
        <is>
          <t>EMP-127</t>
        </is>
      </c>
      <c r="B28" t="n">
        <v>4972</v>
      </c>
      <c r="C28" t="n">
        <v>2101</v>
      </c>
      <c r="D28" t="n">
        <v>4011</v>
      </c>
      <c r="E28" t="n">
        <v>1913</v>
      </c>
    </row>
    <row r="29">
      <c r="A29" t="inlineStr">
        <is>
          <t>EMP-128</t>
        </is>
      </c>
      <c r="B29" t="n">
        <v>2262</v>
      </c>
      <c r="C29" t="n">
        <v>1073</v>
      </c>
      <c r="D29" t="n">
        <v>2387</v>
      </c>
      <c r="E29" t="n">
        <v>1610</v>
      </c>
    </row>
    <row r="30">
      <c r="A30" t="inlineStr">
        <is>
          <t>EMP-129</t>
        </is>
      </c>
      <c r="B30" t="n">
        <v>4273</v>
      </c>
      <c r="C30" t="n">
        <v>2888</v>
      </c>
      <c r="D30" t="n">
        <v>4594</v>
      </c>
      <c r="E30" t="n">
        <v>1812</v>
      </c>
    </row>
    <row r="31">
      <c r="A31" t="inlineStr">
        <is>
          <t>EMP-130</t>
        </is>
      </c>
      <c r="B31" t="n">
        <v>3221</v>
      </c>
      <c r="C31" t="n">
        <v>2603</v>
      </c>
      <c r="D31" t="n">
        <v>2792</v>
      </c>
      <c r="E31" t="n">
        <v>3507</v>
      </c>
    </row>
    <row r="32">
      <c r="A32" t="inlineStr">
        <is>
          <t>EMP-131</t>
        </is>
      </c>
      <c r="B32" t="n">
        <v>2564</v>
      </c>
      <c r="C32" t="n">
        <v>1404</v>
      </c>
      <c r="D32" t="n">
        <v>3306</v>
      </c>
      <c r="E32" t="n">
        <v>2499</v>
      </c>
    </row>
    <row r="33">
      <c r="A33" t="inlineStr">
        <is>
          <t>EMP-132</t>
        </is>
      </c>
      <c r="B33" t="n">
        <v>4698</v>
      </c>
      <c r="C33" t="n">
        <v>1474</v>
      </c>
      <c r="D33" t="n">
        <v>4212</v>
      </c>
      <c r="E33" t="n">
        <v>4657</v>
      </c>
    </row>
    <row r="34">
      <c r="A34" t="inlineStr">
        <is>
          <t>EMP-133</t>
        </is>
      </c>
      <c r="B34" t="n">
        <v>4854</v>
      </c>
      <c r="C34" t="n">
        <v>3510</v>
      </c>
      <c r="D34" t="n">
        <v>1790</v>
      </c>
      <c r="E34" t="n">
        <v>4532</v>
      </c>
    </row>
    <row r="35">
      <c r="A35" t="inlineStr">
        <is>
          <t>EMP-134</t>
        </is>
      </c>
      <c r="B35" t="n">
        <v>3629</v>
      </c>
      <c r="C35" t="n">
        <v>3094</v>
      </c>
      <c r="D35" t="n">
        <v>4903</v>
      </c>
      <c r="E35" t="n">
        <v>4276</v>
      </c>
    </row>
    <row r="36">
      <c r="A36" t="inlineStr">
        <is>
          <t>EMP-135</t>
        </is>
      </c>
      <c r="B36" t="n">
        <v>4074</v>
      </c>
      <c r="C36" t="n">
        <v>3957</v>
      </c>
      <c r="D36" t="n">
        <v>1353</v>
      </c>
      <c r="E36" t="n">
        <v>4903</v>
      </c>
    </row>
    <row r="37">
      <c r="A37" t="inlineStr">
        <is>
          <t>EMP-136</t>
        </is>
      </c>
      <c r="B37" t="n">
        <v>4347</v>
      </c>
      <c r="C37" t="n">
        <v>3058</v>
      </c>
      <c r="D37" t="n">
        <v>1035</v>
      </c>
      <c r="E37" t="n">
        <v>1394</v>
      </c>
    </row>
    <row r="38">
      <c r="A38" t="inlineStr">
        <is>
          <t>EMP-137</t>
        </is>
      </c>
      <c r="B38" t="n">
        <v>1212</v>
      </c>
      <c r="C38" t="n">
        <v>2612</v>
      </c>
      <c r="D38" t="n">
        <v>2386</v>
      </c>
      <c r="E38" t="n">
        <v>1463</v>
      </c>
    </row>
    <row r="39">
      <c r="A39" t="inlineStr">
        <is>
          <t>EMP-138</t>
        </is>
      </c>
      <c r="B39" t="n">
        <v>4721</v>
      </c>
      <c r="C39" t="n">
        <v>3851</v>
      </c>
      <c r="D39" t="n">
        <v>3326</v>
      </c>
      <c r="E39" t="n">
        <v>1830</v>
      </c>
    </row>
    <row r="40">
      <c r="A40" t="inlineStr">
        <is>
          <t>EMP-139</t>
        </is>
      </c>
      <c r="B40" t="n">
        <v>4333</v>
      </c>
      <c r="C40" t="n">
        <v>2414</v>
      </c>
      <c r="D40" t="n">
        <v>1946</v>
      </c>
      <c r="E40" t="n">
        <v>1113</v>
      </c>
    </row>
    <row r="41">
      <c r="A41" t="inlineStr">
        <is>
          <t>EMP-140</t>
        </is>
      </c>
      <c r="B41" t="n">
        <v>2934</v>
      </c>
      <c r="C41" t="n">
        <v>1626</v>
      </c>
      <c r="D41" t="n">
        <v>3679</v>
      </c>
      <c r="E41" t="n">
        <v>4137</v>
      </c>
    </row>
    <row r="42">
      <c r="A42" t="inlineStr">
        <is>
          <t>EMP-141</t>
        </is>
      </c>
      <c r="B42" t="n">
        <v>4304</v>
      </c>
      <c r="C42" t="n">
        <v>2674</v>
      </c>
      <c r="D42" t="n">
        <v>3117</v>
      </c>
      <c r="E42" t="n">
        <v>4560</v>
      </c>
    </row>
    <row r="43">
      <c r="A43" t="inlineStr">
        <is>
          <t>EMP-142</t>
        </is>
      </c>
      <c r="B43" t="n">
        <v>1715</v>
      </c>
      <c r="C43" t="n">
        <v>2013</v>
      </c>
      <c r="D43" t="n">
        <v>3777</v>
      </c>
      <c r="E43" t="n">
        <v>4564</v>
      </c>
    </row>
    <row r="44">
      <c r="A44" t="inlineStr">
        <is>
          <t>EMP-143</t>
        </is>
      </c>
      <c r="B44" t="n">
        <v>3305</v>
      </c>
      <c r="C44" t="n">
        <v>4340</v>
      </c>
      <c r="D44" t="n">
        <v>3303</v>
      </c>
      <c r="E44" t="n">
        <v>4364</v>
      </c>
    </row>
    <row r="45">
      <c r="A45" t="inlineStr">
        <is>
          <t>EMP-144</t>
        </is>
      </c>
      <c r="B45" t="n">
        <v>1933</v>
      </c>
      <c r="C45" t="n">
        <v>4718</v>
      </c>
      <c r="D45" t="n">
        <v>1387</v>
      </c>
      <c r="E45" t="n">
        <v>3236</v>
      </c>
    </row>
    <row r="46">
      <c r="A46" t="inlineStr">
        <is>
          <t>EMP-145</t>
        </is>
      </c>
      <c r="B46" t="n">
        <v>1682</v>
      </c>
      <c r="C46" t="n">
        <v>3827</v>
      </c>
      <c r="D46" t="n">
        <v>2173</v>
      </c>
      <c r="E46" t="n">
        <v>4537</v>
      </c>
    </row>
    <row r="47">
      <c r="A47" t="inlineStr">
        <is>
          <t>EMP-146</t>
        </is>
      </c>
      <c r="B47" t="n">
        <v>1216</v>
      </c>
      <c r="C47" t="n">
        <v>3843</v>
      </c>
      <c r="D47" t="n">
        <v>1674</v>
      </c>
      <c r="E47" t="n">
        <v>1833</v>
      </c>
    </row>
    <row r="48">
      <c r="A48" t="inlineStr">
        <is>
          <t>EMP-147</t>
        </is>
      </c>
      <c r="B48" t="n">
        <v>3098</v>
      </c>
      <c r="C48" t="n">
        <v>2109</v>
      </c>
      <c r="D48" t="n">
        <v>2116</v>
      </c>
      <c r="E48" t="n">
        <v>1622</v>
      </c>
    </row>
    <row r="49">
      <c r="A49" t="inlineStr">
        <is>
          <t>EMP-148</t>
        </is>
      </c>
      <c r="B49" t="n">
        <v>1279</v>
      </c>
      <c r="C49" t="n">
        <v>3856</v>
      </c>
      <c r="D49" t="n">
        <v>4542</v>
      </c>
      <c r="E49" t="n">
        <v>1729</v>
      </c>
    </row>
    <row r="50">
      <c r="A50" t="inlineStr">
        <is>
          <t>EMP-149</t>
        </is>
      </c>
      <c r="B50" t="n">
        <v>2677</v>
      </c>
      <c r="C50" t="n">
        <v>2219</v>
      </c>
      <c r="D50" t="n">
        <v>3799</v>
      </c>
      <c r="E50" t="n">
        <v>1598</v>
      </c>
    </row>
    <row r="51">
      <c r="A51" t="inlineStr">
        <is>
          <t>EMP-150</t>
        </is>
      </c>
      <c r="B51" t="n">
        <v>1985</v>
      </c>
      <c r="C51" t="n">
        <v>2382</v>
      </c>
      <c r="D51" t="n">
        <v>4369</v>
      </c>
      <c r="E51" t="n">
        <v>3263</v>
      </c>
    </row>
    <row r="52">
      <c r="A52" t="inlineStr">
        <is>
          <t>EMP-151</t>
        </is>
      </c>
      <c r="B52" t="n">
        <v>2143</v>
      </c>
      <c r="C52" t="n">
        <v>3353</v>
      </c>
      <c r="D52" t="n">
        <v>3534</v>
      </c>
      <c r="E52" t="n">
        <v>2173</v>
      </c>
    </row>
    <row r="53">
      <c r="A53" t="inlineStr">
        <is>
          <t>EMP-152</t>
        </is>
      </c>
      <c r="B53" t="n">
        <v>3798</v>
      </c>
      <c r="C53" t="n">
        <v>2103</v>
      </c>
      <c r="D53" t="n">
        <v>1084</v>
      </c>
      <c r="E53" t="n">
        <v>1655</v>
      </c>
    </row>
    <row r="54">
      <c r="A54" t="inlineStr">
        <is>
          <t>EMP-153</t>
        </is>
      </c>
      <c r="B54" t="n">
        <v>1653</v>
      </c>
      <c r="C54" t="n">
        <v>2331</v>
      </c>
      <c r="D54" t="n">
        <v>3972</v>
      </c>
      <c r="E54" t="n">
        <v>4274</v>
      </c>
    </row>
    <row r="55">
      <c r="A55" t="inlineStr">
        <is>
          <t>EMP-154</t>
        </is>
      </c>
      <c r="B55" t="n">
        <v>1478</v>
      </c>
      <c r="C55" t="n">
        <v>3123</v>
      </c>
      <c r="D55" t="n">
        <v>1196</v>
      </c>
      <c r="E55" t="n">
        <v>4665</v>
      </c>
    </row>
    <row r="56">
      <c r="A56" t="inlineStr">
        <is>
          <t>EMP-155</t>
        </is>
      </c>
      <c r="B56" t="n">
        <v>2064</v>
      </c>
      <c r="C56" t="n">
        <v>3239</v>
      </c>
      <c r="D56" t="n">
        <v>4128</v>
      </c>
      <c r="E56" t="n">
        <v>4209</v>
      </c>
    </row>
    <row r="57">
      <c r="A57" t="inlineStr">
        <is>
          <t>EMP-156</t>
        </is>
      </c>
      <c r="B57" t="n">
        <v>2649</v>
      </c>
      <c r="C57" t="n">
        <v>1500</v>
      </c>
      <c r="D57" t="n">
        <v>3391</v>
      </c>
      <c r="E57" t="n">
        <v>3951</v>
      </c>
    </row>
    <row r="58">
      <c r="A58" t="inlineStr">
        <is>
          <t>EMP-157</t>
        </is>
      </c>
      <c r="B58" t="n">
        <v>2514</v>
      </c>
      <c r="C58" t="n">
        <v>1618</v>
      </c>
      <c r="D58" t="n">
        <v>2146</v>
      </c>
      <c r="E58" t="n">
        <v>4533</v>
      </c>
    </row>
    <row r="59">
      <c r="A59" t="inlineStr">
        <is>
          <t>EMP-158</t>
        </is>
      </c>
      <c r="B59" t="n">
        <v>1678</v>
      </c>
      <c r="C59" t="n">
        <v>1960</v>
      </c>
      <c r="D59" t="n">
        <v>4128</v>
      </c>
      <c r="E59" t="n">
        <v>1119</v>
      </c>
    </row>
    <row r="60">
      <c r="A60" t="inlineStr">
        <is>
          <t>EMP-159</t>
        </is>
      </c>
      <c r="B60" t="n">
        <v>1633</v>
      </c>
      <c r="C60" t="n">
        <v>4857</v>
      </c>
      <c r="D60" t="n">
        <v>3336</v>
      </c>
      <c r="E60" t="n">
        <v>4532</v>
      </c>
    </row>
    <row r="61">
      <c r="A61" t="inlineStr">
        <is>
          <t>EMP-160</t>
        </is>
      </c>
      <c r="B61" t="n">
        <v>3467</v>
      </c>
      <c r="C61" t="n">
        <v>4533</v>
      </c>
      <c r="D61" t="n">
        <v>4765</v>
      </c>
      <c r="E61" t="n">
        <v>3084</v>
      </c>
    </row>
    <row r="62">
      <c r="A62" t="inlineStr">
        <is>
          <t>EMP-161</t>
        </is>
      </c>
      <c r="B62" t="n">
        <v>2151</v>
      </c>
      <c r="C62" t="n">
        <v>4032</v>
      </c>
      <c r="D62" t="n">
        <v>3690</v>
      </c>
      <c r="E62" t="n">
        <v>3274</v>
      </c>
    </row>
    <row r="63">
      <c r="A63" t="inlineStr">
        <is>
          <t>EMP-162</t>
        </is>
      </c>
      <c r="B63" t="n">
        <v>1882</v>
      </c>
      <c r="C63" t="n">
        <v>4197</v>
      </c>
      <c r="D63" t="n">
        <v>4841</v>
      </c>
      <c r="E63" t="n">
        <v>1199</v>
      </c>
    </row>
    <row r="64">
      <c r="A64" t="inlineStr">
        <is>
          <t>EMP-163</t>
        </is>
      </c>
      <c r="B64" t="n">
        <v>3570</v>
      </c>
      <c r="C64" t="n">
        <v>1092</v>
      </c>
      <c r="D64" t="n">
        <v>2645</v>
      </c>
      <c r="E64" t="n">
        <v>3040</v>
      </c>
    </row>
    <row r="65">
      <c r="A65" t="inlineStr">
        <is>
          <t>EMP-164</t>
        </is>
      </c>
      <c r="B65" t="n">
        <v>1402</v>
      </c>
      <c r="C65" t="n">
        <v>4811</v>
      </c>
      <c r="D65" t="n">
        <v>4327</v>
      </c>
      <c r="E65" t="n">
        <v>3925</v>
      </c>
    </row>
    <row r="66">
      <c r="A66" t="inlineStr">
        <is>
          <t>EMP-165</t>
        </is>
      </c>
      <c r="B66" t="n">
        <v>4494</v>
      </c>
      <c r="C66" t="n">
        <v>2087</v>
      </c>
      <c r="D66" t="n">
        <v>1530</v>
      </c>
      <c r="E66" t="n">
        <v>2531</v>
      </c>
    </row>
    <row r="67">
      <c r="A67" t="inlineStr">
        <is>
          <t>EMP-166</t>
        </is>
      </c>
      <c r="B67" t="n">
        <v>3815</v>
      </c>
      <c r="C67" t="n">
        <v>4549</v>
      </c>
      <c r="D67" t="n">
        <v>3613</v>
      </c>
      <c r="E67" t="n">
        <v>2508</v>
      </c>
    </row>
    <row r="68">
      <c r="A68" t="inlineStr">
        <is>
          <t>EMP-167</t>
        </is>
      </c>
      <c r="B68" t="n">
        <v>4270</v>
      </c>
      <c r="C68" t="n">
        <v>4407</v>
      </c>
      <c r="D68" t="n">
        <v>1802</v>
      </c>
      <c r="E68" t="n">
        <v>1353</v>
      </c>
    </row>
    <row r="69">
      <c r="A69" t="inlineStr">
        <is>
          <t>EMP-168</t>
        </is>
      </c>
      <c r="B69" t="n">
        <v>3836</v>
      </c>
      <c r="C69" t="n">
        <v>3375</v>
      </c>
      <c r="D69" t="n">
        <v>1184</v>
      </c>
      <c r="E69" t="n">
        <v>2436</v>
      </c>
    </row>
    <row r="70">
      <c r="A70" t="inlineStr">
        <is>
          <t>EMP-169</t>
        </is>
      </c>
      <c r="B70" t="n">
        <v>3796</v>
      </c>
      <c r="C70" t="n">
        <v>1444</v>
      </c>
      <c r="D70" t="n">
        <v>3822</v>
      </c>
      <c r="E70" t="n">
        <v>3360</v>
      </c>
    </row>
    <row r="71">
      <c r="A71" t="inlineStr">
        <is>
          <t>EMP-170</t>
        </is>
      </c>
      <c r="B71" t="n">
        <v>3636</v>
      </c>
      <c r="C71" t="n">
        <v>2188</v>
      </c>
      <c r="D71" t="n">
        <v>3318</v>
      </c>
      <c r="E71" t="n">
        <v>3893</v>
      </c>
    </row>
    <row r="72">
      <c r="A72" t="inlineStr">
        <is>
          <t>EMP-171</t>
        </is>
      </c>
      <c r="B72" t="n">
        <v>2602</v>
      </c>
      <c r="C72" t="n">
        <v>3422</v>
      </c>
      <c r="D72" t="n">
        <v>2886</v>
      </c>
      <c r="E72" t="n">
        <v>1563</v>
      </c>
    </row>
    <row r="73">
      <c r="A73" t="inlineStr">
        <is>
          <t>EMP-172</t>
        </is>
      </c>
      <c r="B73" t="n">
        <v>4487</v>
      </c>
      <c r="C73" t="n">
        <v>4897</v>
      </c>
      <c r="D73" t="n">
        <v>2659</v>
      </c>
      <c r="E73" t="n">
        <v>4267</v>
      </c>
    </row>
    <row r="74">
      <c r="A74" t="inlineStr">
        <is>
          <t>EMP-173</t>
        </is>
      </c>
      <c r="B74" t="n">
        <v>4005</v>
      </c>
      <c r="C74" t="n">
        <v>4275</v>
      </c>
      <c r="D74" t="n">
        <v>2566</v>
      </c>
      <c r="E74" t="n">
        <v>1905</v>
      </c>
    </row>
    <row r="75">
      <c r="A75" t="inlineStr">
        <is>
          <t>EMP-174</t>
        </is>
      </c>
      <c r="B75" t="n">
        <v>2581</v>
      </c>
      <c r="C75" t="n">
        <v>2652</v>
      </c>
      <c r="D75" t="n">
        <v>4311</v>
      </c>
      <c r="E75" t="n">
        <v>1231</v>
      </c>
    </row>
    <row r="76">
      <c r="A76" t="inlineStr">
        <is>
          <t>EMP-175</t>
        </is>
      </c>
      <c r="B76" t="n">
        <v>1632</v>
      </c>
      <c r="C76" t="n">
        <v>2164</v>
      </c>
      <c r="D76" t="n">
        <v>2277</v>
      </c>
      <c r="E76" t="n">
        <v>3707</v>
      </c>
    </row>
    <row r="77">
      <c r="A77" t="inlineStr">
        <is>
          <t>EMP-176</t>
        </is>
      </c>
      <c r="B77" t="n">
        <v>2632</v>
      </c>
      <c r="C77" t="n">
        <v>3194</v>
      </c>
      <c r="D77" t="n">
        <v>2464</v>
      </c>
      <c r="E77" t="n">
        <v>2801</v>
      </c>
    </row>
    <row r="78">
      <c r="A78" t="inlineStr">
        <is>
          <t>EMP-177</t>
        </is>
      </c>
      <c r="B78" t="n">
        <v>1886</v>
      </c>
      <c r="C78" t="n">
        <v>2601</v>
      </c>
      <c r="D78" t="n">
        <v>4533</v>
      </c>
      <c r="E78" t="n">
        <v>4531</v>
      </c>
    </row>
    <row r="79">
      <c r="A79" t="inlineStr">
        <is>
          <t>EMP-178</t>
        </is>
      </c>
      <c r="B79" t="n">
        <v>3039</v>
      </c>
      <c r="C79" t="n">
        <v>2191</v>
      </c>
      <c r="D79" t="n">
        <v>4741</v>
      </c>
      <c r="E79" t="n">
        <v>2815</v>
      </c>
    </row>
    <row r="80">
      <c r="A80" t="inlineStr">
        <is>
          <t>EMP-179</t>
        </is>
      </c>
      <c r="B80" t="n">
        <v>1784</v>
      </c>
      <c r="C80" t="n">
        <v>2639</v>
      </c>
      <c r="D80" t="n">
        <v>4936</v>
      </c>
      <c r="E80" t="n">
        <v>4931</v>
      </c>
    </row>
    <row r="81">
      <c r="A81" t="inlineStr">
        <is>
          <t>EMP-180</t>
        </is>
      </c>
      <c r="B81" t="n">
        <v>4487</v>
      </c>
      <c r="C81" t="n">
        <v>4071</v>
      </c>
      <c r="D81" t="n">
        <v>3304</v>
      </c>
      <c r="E81" t="n">
        <v>3632</v>
      </c>
    </row>
    <row r="82">
      <c r="A82" t="inlineStr">
        <is>
          <t>EMP-181</t>
        </is>
      </c>
      <c r="B82" t="n">
        <v>2364</v>
      </c>
      <c r="C82" t="n">
        <v>4777</v>
      </c>
      <c r="D82" t="n">
        <v>3056</v>
      </c>
      <c r="E82" t="n">
        <v>1947</v>
      </c>
    </row>
    <row r="83">
      <c r="A83" t="inlineStr">
        <is>
          <t>EMP-182</t>
        </is>
      </c>
      <c r="B83" t="n">
        <v>2153</v>
      </c>
      <c r="C83" t="n">
        <v>4272</v>
      </c>
      <c r="D83" t="n">
        <v>3470</v>
      </c>
      <c r="E83" t="n">
        <v>4302</v>
      </c>
    </row>
    <row r="84">
      <c r="A84" t="inlineStr">
        <is>
          <t>EMP-183</t>
        </is>
      </c>
      <c r="B84" t="n">
        <v>4104</v>
      </c>
      <c r="C84" t="n">
        <v>3661</v>
      </c>
      <c r="D84" t="n">
        <v>2894</v>
      </c>
      <c r="E84" t="n">
        <v>2266</v>
      </c>
    </row>
    <row r="85">
      <c r="A85" t="inlineStr">
        <is>
          <t>EMP-184</t>
        </is>
      </c>
      <c r="B85" t="n">
        <v>4828</v>
      </c>
      <c r="C85" t="n">
        <v>4980</v>
      </c>
      <c r="D85" t="n">
        <v>4212</v>
      </c>
      <c r="E85" t="n">
        <v>3441</v>
      </c>
    </row>
    <row r="86">
      <c r="A86" t="inlineStr">
        <is>
          <t>EMP-185</t>
        </is>
      </c>
      <c r="B86" t="n">
        <v>3599</v>
      </c>
      <c r="C86" t="n">
        <v>3731</v>
      </c>
      <c r="D86" t="n">
        <v>2749</v>
      </c>
      <c r="E86" t="n">
        <v>1543</v>
      </c>
    </row>
    <row r="87">
      <c r="A87" t="inlineStr">
        <is>
          <t>EMP-186</t>
        </is>
      </c>
      <c r="B87" t="n">
        <v>3391</v>
      </c>
      <c r="C87" t="n">
        <v>3169</v>
      </c>
      <c r="D87" t="n">
        <v>3790</v>
      </c>
      <c r="E87" t="n">
        <v>3667</v>
      </c>
    </row>
    <row r="88">
      <c r="A88" t="inlineStr">
        <is>
          <t>EMP-187</t>
        </is>
      </c>
      <c r="B88" t="n">
        <v>2562</v>
      </c>
      <c r="C88" t="n">
        <v>4770</v>
      </c>
      <c r="D88" t="n">
        <v>3157</v>
      </c>
      <c r="E88" t="n">
        <v>2466</v>
      </c>
    </row>
    <row r="89">
      <c r="A89" t="inlineStr">
        <is>
          <t>EMP-188</t>
        </is>
      </c>
      <c r="B89" t="n">
        <v>2970</v>
      </c>
      <c r="C89" t="n">
        <v>4308</v>
      </c>
      <c r="D89" t="n">
        <v>2702</v>
      </c>
      <c r="E89" t="n">
        <v>3589</v>
      </c>
    </row>
    <row r="90">
      <c r="A90" t="inlineStr">
        <is>
          <t>EMP-189</t>
        </is>
      </c>
      <c r="B90" t="n">
        <v>3056</v>
      </c>
      <c r="C90" t="n">
        <v>4284</v>
      </c>
      <c r="D90" t="n">
        <v>3588</v>
      </c>
      <c r="E90" t="n">
        <v>2908</v>
      </c>
    </row>
    <row r="91">
      <c r="A91" t="inlineStr">
        <is>
          <t>EMP-190</t>
        </is>
      </c>
      <c r="B91" t="n">
        <v>1099</v>
      </c>
      <c r="C91" t="n">
        <v>4350</v>
      </c>
      <c r="D91" t="n">
        <v>1586</v>
      </c>
      <c r="E91" t="n">
        <v>1848</v>
      </c>
    </row>
    <row r="92">
      <c r="A92" t="inlineStr">
        <is>
          <t>EMP-191</t>
        </is>
      </c>
      <c r="B92" t="n">
        <v>2825</v>
      </c>
      <c r="C92" t="n">
        <v>3351</v>
      </c>
      <c r="D92" t="n">
        <v>2055</v>
      </c>
      <c r="E92" t="n">
        <v>3045</v>
      </c>
    </row>
    <row r="93">
      <c r="A93" t="inlineStr">
        <is>
          <t>EMP-192</t>
        </is>
      </c>
      <c r="B93" t="n">
        <v>2910</v>
      </c>
      <c r="C93" t="n">
        <v>4155</v>
      </c>
      <c r="D93" t="n">
        <v>2823</v>
      </c>
      <c r="E93" t="n">
        <v>3380</v>
      </c>
    </row>
    <row r="94">
      <c r="A94" t="inlineStr">
        <is>
          <t>EMP-193</t>
        </is>
      </c>
      <c r="B94" t="n">
        <v>3777</v>
      </c>
      <c r="C94" t="n">
        <v>1786</v>
      </c>
      <c r="D94" t="n">
        <v>4335</v>
      </c>
      <c r="E94" t="n">
        <v>2814</v>
      </c>
    </row>
    <row r="95">
      <c r="A95" t="inlineStr">
        <is>
          <t>EMP-194</t>
        </is>
      </c>
      <c r="B95" t="n">
        <v>1524</v>
      </c>
      <c r="C95" t="n">
        <v>1557</v>
      </c>
      <c r="D95" t="n">
        <v>4329</v>
      </c>
      <c r="E95" t="n">
        <v>2512</v>
      </c>
    </row>
    <row r="96">
      <c r="A96" t="inlineStr">
        <is>
          <t>EMP-195</t>
        </is>
      </c>
      <c r="B96" t="n">
        <v>4057</v>
      </c>
      <c r="C96" t="n">
        <v>4048</v>
      </c>
      <c r="D96" t="n">
        <v>4484</v>
      </c>
      <c r="E96" t="n">
        <v>3551</v>
      </c>
    </row>
    <row r="97">
      <c r="A97" t="inlineStr">
        <is>
          <t>EMP-196</t>
        </is>
      </c>
      <c r="B97" t="n">
        <v>3154</v>
      </c>
      <c r="C97" t="n">
        <v>3477</v>
      </c>
      <c r="D97" t="n">
        <v>1680</v>
      </c>
      <c r="E97" t="n">
        <v>1280</v>
      </c>
    </row>
    <row r="98">
      <c r="A98" t="inlineStr">
        <is>
          <t>EMP-197</t>
        </is>
      </c>
      <c r="B98" t="n">
        <v>1020</v>
      </c>
      <c r="C98" t="n">
        <v>1769</v>
      </c>
      <c r="D98" t="n">
        <v>4211</v>
      </c>
      <c r="E98" t="n">
        <v>1799</v>
      </c>
    </row>
    <row r="99">
      <c r="A99" t="inlineStr">
        <is>
          <t>EMP-198</t>
        </is>
      </c>
      <c r="B99" t="n">
        <v>2471</v>
      </c>
      <c r="C99" t="n">
        <v>4665</v>
      </c>
      <c r="D99" t="n">
        <v>2993</v>
      </c>
      <c r="E99" t="n">
        <v>3816</v>
      </c>
    </row>
    <row r="100">
      <c r="A100" t="inlineStr">
        <is>
          <t>EMP-199</t>
        </is>
      </c>
      <c r="B100" t="n">
        <v>1938</v>
      </c>
      <c r="C100" t="n">
        <v>4006</v>
      </c>
      <c r="D100" t="n">
        <v>2176</v>
      </c>
      <c r="E100" t="n">
        <v>4032</v>
      </c>
    </row>
    <row r="101">
      <c r="A101" t="inlineStr">
        <is>
          <t>EMP-200</t>
        </is>
      </c>
      <c r="B101" t="n">
        <v>4201</v>
      </c>
      <c r="C101" t="n">
        <v>4574</v>
      </c>
      <c r="D101" t="n">
        <v>4890</v>
      </c>
      <c r="E101" t="n">
        <v>1946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#</t>
        </is>
      </c>
      <c r="B1" t="inlineStr">
        <is>
          <t>Expected Result</t>
        </is>
      </c>
    </row>
    <row r="2">
      <c r="A2" t="n">
        <v>1</v>
      </c>
      <c r="B2">
        <f>INDEX(Matrix_Data!B:B,MATCH("EMP-101",Matrix_Data!A:A,0))</f>
        <v/>
      </c>
    </row>
    <row r="3">
      <c r="A3" t="n">
        <v>2</v>
      </c>
      <c r="B3">
        <f>INDEX(Matrix_Data!E:E,MATCH("EMP-110",Matrix_Data!A:A,0))</f>
        <v/>
      </c>
    </row>
    <row r="4">
      <c r="A4" t="n">
        <v>3</v>
      </c>
      <c r="B4">
        <f>INDEX(Matrix_Data!A:E,MATCH("EMP-120",Matrix_Data!A:A,0),MATCH("Q3 Sales",Matrix_Data!A1:E1,0))</f>
        <v/>
      </c>
    </row>
    <row r="5">
      <c r="A5" t="n">
        <v>4</v>
      </c>
      <c r="B5">
        <f>INDEX(Matrix_Data!B:B,MATCH("EMP-104",Matrix_Data!A:A,0))</f>
        <v/>
      </c>
    </row>
    <row r="6">
      <c r="A6" t="n">
        <v>5</v>
      </c>
      <c r="B6">
        <f>INDEX(Matrix_Data!B:B,MATCH("EMP-105",Matrix_Data!A:A,0))</f>
        <v/>
      </c>
    </row>
    <row r="7">
      <c r="A7" t="n">
        <v>6</v>
      </c>
      <c r="B7">
        <f>INDEX(Matrix_Data!B:B,MATCH("EMP-106",Matrix_Data!A:A,0))</f>
        <v/>
      </c>
    </row>
    <row r="8">
      <c r="A8" t="n">
        <v>7</v>
      </c>
      <c r="B8">
        <f>INDEX(Matrix_Data!B:B,MATCH("EMP-107",Matrix_Data!A:A,0))</f>
        <v/>
      </c>
    </row>
    <row r="9">
      <c r="A9" t="n">
        <v>8</v>
      </c>
      <c r="B9">
        <f>INDEX(Matrix_Data!B:B,MATCH("EMP-108",Matrix_Data!A:A,0))</f>
        <v/>
      </c>
    </row>
    <row r="10">
      <c r="A10" t="n">
        <v>9</v>
      </c>
      <c r="B10">
        <f>INDEX(Matrix_Data!B:B,MATCH("EMP-109",Matrix_Data!A:A,0))</f>
        <v/>
      </c>
    </row>
    <row r="11">
      <c r="A11" t="n">
        <v>10</v>
      </c>
      <c r="B11">
        <f>INDEX(Matrix_Data!B:B,MATCH("EMP-110",Matrix_Data!A:A,0))</f>
        <v/>
      </c>
    </row>
    <row r="12">
      <c r="A12" t="n">
        <v>11</v>
      </c>
      <c r="B12">
        <f>INDEX(Matrix_Data!B:B,MATCH("EMP-111",Matrix_Data!A:A,0))</f>
        <v/>
      </c>
    </row>
    <row r="13">
      <c r="A13" t="n">
        <v>12</v>
      </c>
      <c r="B13">
        <f>INDEX(Matrix_Data!B:B,MATCH("EMP-112",Matrix_Data!A:A,0))</f>
        <v/>
      </c>
    </row>
    <row r="14">
      <c r="A14" t="n">
        <v>13</v>
      </c>
      <c r="B14">
        <f>INDEX(Matrix_Data!B:B,MATCH("EMP-113",Matrix_Data!A:A,0))</f>
        <v/>
      </c>
    </row>
    <row r="15">
      <c r="A15" t="n">
        <v>14</v>
      </c>
      <c r="B15">
        <f>INDEX(Matrix_Data!B:B,MATCH("EMP-114",Matrix_Data!A:A,0))</f>
        <v/>
      </c>
    </row>
    <row r="16">
      <c r="A16" t="n">
        <v>15</v>
      </c>
      <c r="B16">
        <f>INDEX(Matrix_Data!B:B,MATCH("EMP-115",Matrix_Data!A:A,0))</f>
        <v/>
      </c>
    </row>
    <row r="17">
      <c r="A17" t="n">
        <v>16</v>
      </c>
      <c r="B17">
        <f>INDEX(Matrix_Data!B:B,MATCH("EMP-116",Matrix_Data!A:A,0))</f>
        <v/>
      </c>
    </row>
    <row r="18">
      <c r="A18" t="n">
        <v>17</v>
      </c>
      <c r="B18">
        <f>INDEX(Matrix_Data!B:B,MATCH("EMP-117",Matrix_Data!A:A,0))</f>
        <v/>
      </c>
    </row>
    <row r="19">
      <c r="A19" t="n">
        <v>18</v>
      </c>
      <c r="B19">
        <f>INDEX(Matrix_Data!B:B,MATCH("EMP-118",Matrix_Data!A:A,0))</f>
        <v/>
      </c>
    </row>
    <row r="20">
      <c r="A20" t="n">
        <v>19</v>
      </c>
      <c r="B20">
        <f>INDEX(Matrix_Data!B:B,MATCH("EMP-119",Matrix_Data!A:A,0))</f>
        <v/>
      </c>
    </row>
    <row r="21">
      <c r="A21" t="n">
        <v>20</v>
      </c>
      <c r="B21">
        <f>INDEX(Matrix_Data!B:B,MATCH("EMP-120",Matrix_Data!A:A,0))</f>
        <v/>
      </c>
    </row>
    <row r="22">
      <c r="A22" t="n">
        <v>21</v>
      </c>
      <c r="B22">
        <f>INDEX(Matrix_Data!B:B,MATCH("EMP-121",Matrix_Data!A:A,0))</f>
        <v/>
      </c>
    </row>
    <row r="23">
      <c r="A23" t="n">
        <v>22</v>
      </c>
      <c r="B23">
        <f>INDEX(Matrix_Data!B:B,MATCH("EMP-122",Matrix_Data!A:A,0))</f>
        <v/>
      </c>
    </row>
    <row r="24">
      <c r="A24" t="n">
        <v>23</v>
      </c>
      <c r="B24">
        <f>INDEX(Matrix_Data!B:B,MATCH("EMP-123",Matrix_Data!A:A,0))</f>
        <v/>
      </c>
    </row>
    <row r="25">
      <c r="A25" t="n">
        <v>24</v>
      </c>
      <c r="B25">
        <f>INDEX(Matrix_Data!B:B,MATCH("EMP-124",Matrix_Data!A:A,0))</f>
        <v/>
      </c>
    </row>
    <row r="26">
      <c r="A26" t="n">
        <v>25</v>
      </c>
      <c r="B26">
        <f>INDEX(Matrix_Data!B:B,MATCH("EMP-125",Matrix_Data!A:A,0))</f>
        <v/>
      </c>
    </row>
    <row r="27">
      <c r="A27" t="n">
        <v>26</v>
      </c>
      <c r="B27">
        <f>INDEX(Matrix_Data!B:B,MATCH("EMP-126",Matrix_Data!A:A,0))</f>
        <v/>
      </c>
    </row>
    <row r="28">
      <c r="A28" t="n">
        <v>27</v>
      </c>
      <c r="B28">
        <f>INDEX(Matrix_Data!B:B,MATCH("EMP-127",Matrix_Data!A:A,0))</f>
        <v/>
      </c>
    </row>
    <row r="29">
      <c r="A29" t="n">
        <v>28</v>
      </c>
      <c r="B29">
        <f>INDEX(Matrix_Data!B:B,MATCH("EMP-128",Matrix_Data!A:A,0))</f>
        <v/>
      </c>
    </row>
    <row r="30">
      <c r="A30" t="n">
        <v>29</v>
      </c>
      <c r="B30">
        <f>INDEX(Matrix_Data!B:B,MATCH("EMP-129",Matrix_Data!A:A,0))</f>
        <v/>
      </c>
    </row>
    <row r="31">
      <c r="A31" t="n">
        <v>30</v>
      </c>
      <c r="B31">
        <f>INDEX(Matrix_Data!B:B,MATCH("EMP-130",Matrix_Data!A:A,0))</f>
        <v/>
      </c>
    </row>
    <row r="32">
      <c r="A32" t="n">
        <v>31</v>
      </c>
      <c r="B32">
        <f>INDEX(Matrix_Data!B:B,MATCH("EMP-131",Matrix_Data!A:A,0))</f>
        <v/>
      </c>
    </row>
    <row r="33">
      <c r="A33" t="n">
        <v>32</v>
      </c>
      <c r="B33">
        <f>INDEX(Matrix_Data!B:B,MATCH("EMP-132",Matrix_Data!A:A,0))</f>
        <v/>
      </c>
    </row>
    <row r="34">
      <c r="A34" t="n">
        <v>33</v>
      </c>
      <c r="B34">
        <f>INDEX(Matrix_Data!B:B,MATCH("EMP-133",Matrix_Data!A:A,0))</f>
        <v/>
      </c>
    </row>
    <row r="35">
      <c r="A35" t="n">
        <v>34</v>
      </c>
      <c r="B35">
        <f>INDEX(Matrix_Data!B:B,MATCH("EMP-134",Matrix_Data!A:A,0))</f>
        <v/>
      </c>
    </row>
    <row r="36">
      <c r="A36" t="n">
        <v>35</v>
      </c>
      <c r="B36">
        <f>INDEX(Matrix_Data!B:B,MATCH("EMP-135",Matrix_Data!A:A,0))</f>
        <v/>
      </c>
    </row>
    <row r="37">
      <c r="A37" t="n">
        <v>36</v>
      </c>
      <c r="B37">
        <f>INDEX(Matrix_Data!B:B,MATCH("EMP-136",Matrix_Data!A:A,0))</f>
        <v/>
      </c>
    </row>
    <row r="38">
      <c r="A38" t="n">
        <v>37</v>
      </c>
      <c r="B38">
        <f>INDEX(Matrix_Data!B:B,MATCH("EMP-137",Matrix_Data!A:A,0))</f>
        <v/>
      </c>
    </row>
    <row r="39">
      <c r="A39" t="n">
        <v>38</v>
      </c>
      <c r="B39">
        <f>INDEX(Matrix_Data!B:B,MATCH("EMP-138",Matrix_Data!A:A,0))</f>
        <v/>
      </c>
    </row>
    <row r="40">
      <c r="A40" t="n">
        <v>39</v>
      </c>
      <c r="B40">
        <f>INDEX(Matrix_Data!B:B,MATCH("EMP-139",Matrix_Data!A:A,0))</f>
        <v/>
      </c>
    </row>
    <row r="41">
      <c r="A41" t="n">
        <v>40</v>
      </c>
      <c r="B41">
        <f>INDEX(Matrix_Data!B:B,MATCH("EMP-140",Matrix_Data!A:A,0))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8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0" customWidth="1" min="2" max="2"/>
    <col width="35" customWidth="1" min="3" max="3"/>
    <col width="20" customWidth="1" min="4" max="4"/>
  </cols>
  <sheetData>
    <row r="2">
      <c r="B2" s="1" t="inlineStr">
        <is>
          <t>INDEX &amp; MATCH MASTERY DRILL</t>
        </is>
      </c>
    </row>
    <row r="6">
      <c r="B6" s="4" t="inlineStr">
        <is>
          <t>1. Find Q1 Sales for EMP-101 using INDEX &amp; MATCH</t>
        </is>
      </c>
      <c r="C6" s="5" t="n"/>
      <c r="D6" s="6">
        <f>IF(C6="","[ Pending ]", IF(C6=The_Archive!B2, "✅ Correct", "❌ Try Again"))</f>
        <v/>
      </c>
    </row>
    <row r="8">
      <c r="B8" s="4" t="inlineStr">
        <is>
          <t>2. Find Q4 Sales for EMP-110</t>
        </is>
      </c>
      <c r="C8" s="5" t="n"/>
      <c r="D8" s="6">
        <f>IF(C8="","[ Pending ]", IF(C8=The_Archive!B3, "✅ Correct", "❌ Try Again"))</f>
        <v/>
      </c>
    </row>
    <row r="10">
      <c r="B10" s="4" t="inlineStr">
        <is>
          <t>3. 2-Way Lookup: Find 'Q3 Sales' for 'EMP-120'</t>
        </is>
      </c>
      <c r="C10" s="5" t="n"/>
      <c r="D10" s="6">
        <f>IF(C10="","[ Pending ]", IF(C10=The_Archive!B4, "✅ Correct", "❌ Try Again"))</f>
        <v/>
      </c>
    </row>
    <row r="12">
      <c r="B12" s="4" t="inlineStr">
        <is>
          <t>4. Additional Task 4: Lookup Sales for EMP-104</t>
        </is>
      </c>
      <c r="C12" s="5" t="n"/>
      <c r="D12" s="6">
        <f>IF(C12="","[ Pending ]", IF(C12=The_Archive!B5, "✅ Correct", "❌ Try Again"))</f>
        <v/>
      </c>
    </row>
    <row r="14">
      <c r="B14" s="4" t="inlineStr">
        <is>
          <t>5. Additional Task 5: Lookup Sales for EMP-105</t>
        </is>
      </c>
      <c r="C14" s="5" t="n"/>
      <c r="D14" s="6">
        <f>IF(C14="","[ Pending ]", IF(C14=The_Archive!B6, "✅ Correct", "❌ Try Again"))</f>
        <v/>
      </c>
    </row>
    <row r="16">
      <c r="B16" s="4" t="inlineStr">
        <is>
          <t>6. Additional Task 6: Lookup Sales for EMP-106</t>
        </is>
      </c>
      <c r="C16" s="5" t="n"/>
      <c r="D16" s="6">
        <f>IF(C16="","[ Pending ]", IF(C16=The_Archive!B7, "✅ Correct", "❌ Try Again"))</f>
        <v/>
      </c>
    </row>
    <row r="18">
      <c r="B18" s="4" t="inlineStr">
        <is>
          <t>7. Additional Task 7: Lookup Sales for EMP-107</t>
        </is>
      </c>
      <c r="C18" s="5" t="n"/>
      <c r="D18" s="6">
        <f>IF(C18="","[ Pending ]", IF(C18=The_Archive!B8, "✅ Correct", "❌ Try Again"))</f>
        <v/>
      </c>
    </row>
    <row r="20">
      <c r="B20" s="4" t="inlineStr">
        <is>
          <t>8. Additional Task 8: Lookup Sales for EMP-108</t>
        </is>
      </c>
      <c r="C20" s="5" t="n"/>
      <c r="D20" s="6">
        <f>IF(C20="","[ Pending ]", IF(C20=The_Archive!B9, "✅ Correct", "❌ Try Again"))</f>
        <v/>
      </c>
    </row>
    <row r="22">
      <c r="B22" s="4" t="inlineStr">
        <is>
          <t>9. Additional Task 9: Lookup Sales for EMP-109</t>
        </is>
      </c>
      <c r="C22" s="5" t="n"/>
      <c r="D22" s="6">
        <f>IF(C22="","[ Pending ]", IF(C22=The_Archive!B10, "✅ Correct", "❌ Try Again"))</f>
        <v/>
      </c>
    </row>
    <row r="24">
      <c r="B24" s="4" t="inlineStr">
        <is>
          <t>10. Additional Task 10: Lookup Sales for EMP-110</t>
        </is>
      </c>
      <c r="C24" s="5" t="n"/>
      <c r="D24" s="6">
        <f>IF(C24="","[ Pending ]", IF(C24=The_Archive!B11, "✅ Correct", "❌ Try Again"))</f>
        <v/>
      </c>
    </row>
    <row r="26">
      <c r="B26" s="4" t="inlineStr">
        <is>
          <t>11. Additional Task 11: Lookup Sales for EMP-111</t>
        </is>
      </c>
      <c r="C26" s="5" t="n"/>
      <c r="D26" s="6">
        <f>IF(C26="","[ Pending ]", IF(C26=The_Archive!B12, "✅ Correct", "❌ Try Again"))</f>
        <v/>
      </c>
    </row>
    <row r="28">
      <c r="B28" s="4" t="inlineStr">
        <is>
          <t>12. Additional Task 12: Lookup Sales for EMP-112</t>
        </is>
      </c>
      <c r="C28" s="5" t="n"/>
      <c r="D28" s="6">
        <f>IF(C28="","[ Pending ]", IF(C28=The_Archive!B13, "✅ Correct", "❌ Try Again"))</f>
        <v/>
      </c>
    </row>
    <row r="30">
      <c r="B30" s="4" t="inlineStr">
        <is>
          <t>13. Additional Task 13: Lookup Sales for EMP-113</t>
        </is>
      </c>
      <c r="C30" s="5" t="n"/>
      <c r="D30" s="6">
        <f>IF(C30="","[ Pending ]", IF(C30=The_Archive!B14, "✅ Correct", "❌ Try Again"))</f>
        <v/>
      </c>
    </row>
    <row r="32">
      <c r="B32" s="4" t="inlineStr">
        <is>
          <t>14. Additional Task 14: Lookup Sales for EMP-114</t>
        </is>
      </c>
      <c r="C32" s="5" t="n"/>
      <c r="D32" s="6">
        <f>IF(C32="","[ Pending ]", IF(C32=The_Archive!B15, "✅ Correct", "❌ Try Again"))</f>
        <v/>
      </c>
    </row>
    <row r="34">
      <c r="B34" s="4" t="inlineStr">
        <is>
          <t>15. Additional Task 15: Lookup Sales for EMP-115</t>
        </is>
      </c>
      <c r="C34" s="5" t="n"/>
      <c r="D34" s="6">
        <f>IF(C34="","[ Pending ]", IF(C34=The_Archive!B16, "✅ Correct", "❌ Try Again"))</f>
        <v/>
      </c>
    </row>
    <row r="36">
      <c r="B36" s="4" t="inlineStr">
        <is>
          <t>16. Additional Task 16: Lookup Sales for EMP-116</t>
        </is>
      </c>
      <c r="C36" s="5" t="n"/>
      <c r="D36" s="6">
        <f>IF(C36="","[ Pending ]", IF(C36=The_Archive!B17, "✅ Correct", "❌ Try Again"))</f>
        <v/>
      </c>
    </row>
    <row r="38">
      <c r="B38" s="4" t="inlineStr">
        <is>
          <t>17. Additional Task 17: Lookup Sales for EMP-117</t>
        </is>
      </c>
      <c r="C38" s="5" t="n"/>
      <c r="D38" s="6">
        <f>IF(C38="","[ Pending ]", IF(C38=The_Archive!B18, "✅ Correct", "❌ Try Again"))</f>
        <v/>
      </c>
    </row>
    <row r="40">
      <c r="B40" s="4" t="inlineStr">
        <is>
          <t>18. Additional Task 18: Lookup Sales for EMP-118</t>
        </is>
      </c>
      <c r="C40" s="5" t="n"/>
      <c r="D40" s="6">
        <f>IF(C40="","[ Pending ]", IF(C40=The_Archive!B19, "✅ Correct", "❌ Try Again"))</f>
        <v/>
      </c>
    </row>
    <row r="42">
      <c r="B42" s="4" t="inlineStr">
        <is>
          <t>19. Additional Task 19: Lookup Sales for EMP-119</t>
        </is>
      </c>
      <c r="C42" s="5" t="n"/>
      <c r="D42" s="6">
        <f>IF(C42="","[ Pending ]", IF(C42=The_Archive!B20, "✅ Correct", "❌ Try Again"))</f>
        <v/>
      </c>
    </row>
    <row r="44">
      <c r="B44" s="4" t="inlineStr">
        <is>
          <t>20. Additional Task 20: Lookup Sales for EMP-120</t>
        </is>
      </c>
      <c r="C44" s="5" t="n"/>
      <c r="D44" s="6">
        <f>IF(C44="","[ Pending ]", IF(C44=The_Archive!B21, "✅ Correct", "❌ Try Again"))</f>
        <v/>
      </c>
    </row>
    <row r="46">
      <c r="B46" s="4" t="inlineStr">
        <is>
          <t>21. Additional Task 21: Lookup Sales for EMP-121</t>
        </is>
      </c>
      <c r="C46" s="5" t="n"/>
      <c r="D46" s="6">
        <f>IF(C46="","[ Pending ]", IF(C46=The_Archive!B22, "✅ Correct", "❌ Try Again"))</f>
        <v/>
      </c>
    </row>
    <row r="48">
      <c r="B48" s="4" t="inlineStr">
        <is>
          <t>22. Additional Task 22: Lookup Sales for EMP-122</t>
        </is>
      </c>
      <c r="C48" s="5" t="n"/>
      <c r="D48" s="6">
        <f>IF(C48="","[ Pending ]", IF(C48=The_Archive!B23, "✅ Correct", "❌ Try Again"))</f>
        <v/>
      </c>
    </row>
    <row r="50">
      <c r="B50" s="4" t="inlineStr">
        <is>
          <t>23. Additional Task 23: Lookup Sales for EMP-123</t>
        </is>
      </c>
      <c r="C50" s="5" t="n"/>
      <c r="D50" s="6">
        <f>IF(C50="","[ Pending ]", IF(C50=The_Archive!B24, "✅ Correct", "❌ Try Again"))</f>
        <v/>
      </c>
    </row>
    <row r="52">
      <c r="B52" s="4" t="inlineStr">
        <is>
          <t>24. Additional Task 24: Lookup Sales for EMP-124</t>
        </is>
      </c>
      <c r="C52" s="5" t="n"/>
      <c r="D52" s="6">
        <f>IF(C52="","[ Pending ]", IF(C52=The_Archive!B25, "✅ Correct", "❌ Try Again"))</f>
        <v/>
      </c>
    </row>
    <row r="54">
      <c r="B54" s="4" t="inlineStr">
        <is>
          <t>25. Additional Task 25: Lookup Sales for EMP-125</t>
        </is>
      </c>
      <c r="C54" s="5" t="n"/>
      <c r="D54" s="6">
        <f>IF(C54="","[ Pending ]", IF(C54=The_Archive!B26, "✅ Correct", "❌ Try Again"))</f>
        <v/>
      </c>
    </row>
    <row r="56">
      <c r="B56" s="4" t="inlineStr">
        <is>
          <t>26. Additional Task 26: Lookup Sales for EMP-126</t>
        </is>
      </c>
      <c r="C56" s="5" t="n"/>
      <c r="D56" s="6">
        <f>IF(C56="","[ Pending ]", IF(C56=The_Archive!B27, "✅ Correct", "❌ Try Again"))</f>
        <v/>
      </c>
    </row>
    <row r="58">
      <c r="B58" s="4" t="inlineStr">
        <is>
          <t>27. Additional Task 27: Lookup Sales for EMP-127</t>
        </is>
      </c>
      <c r="C58" s="5" t="n"/>
      <c r="D58" s="6">
        <f>IF(C58="","[ Pending ]", IF(C58=The_Archive!B28, "✅ Correct", "❌ Try Again"))</f>
        <v/>
      </c>
    </row>
    <row r="60">
      <c r="B60" s="4" t="inlineStr">
        <is>
          <t>28. Additional Task 28: Lookup Sales for EMP-128</t>
        </is>
      </c>
      <c r="C60" s="5" t="n"/>
      <c r="D60" s="6">
        <f>IF(C60="","[ Pending ]", IF(C60=The_Archive!B29, "✅ Correct", "❌ Try Again"))</f>
        <v/>
      </c>
    </row>
    <row r="62">
      <c r="B62" s="4" t="inlineStr">
        <is>
          <t>29. Additional Task 29: Lookup Sales for EMP-129</t>
        </is>
      </c>
      <c r="C62" s="5" t="n"/>
      <c r="D62" s="6">
        <f>IF(C62="","[ Pending ]", IF(C62=The_Archive!B30, "✅ Correct", "❌ Try Again"))</f>
        <v/>
      </c>
    </row>
    <row r="64">
      <c r="B64" s="4" t="inlineStr">
        <is>
          <t>30. Additional Task 30: Lookup Sales for EMP-130</t>
        </is>
      </c>
      <c r="C64" s="5" t="n"/>
      <c r="D64" s="6">
        <f>IF(C64="","[ Pending ]", IF(C64=The_Archive!B31, "✅ Correct", "❌ Try Again"))</f>
        <v/>
      </c>
    </row>
    <row r="66">
      <c r="B66" s="4" t="inlineStr">
        <is>
          <t>31. Additional Task 31: Lookup Sales for EMP-131</t>
        </is>
      </c>
      <c r="C66" s="5" t="n"/>
      <c r="D66" s="6">
        <f>IF(C66="","[ Pending ]", IF(C66=The_Archive!B32, "✅ Correct", "❌ Try Again"))</f>
        <v/>
      </c>
    </row>
    <row r="68">
      <c r="B68" s="4" t="inlineStr">
        <is>
          <t>32. Additional Task 32: Lookup Sales for EMP-132</t>
        </is>
      </c>
      <c r="C68" s="5" t="n"/>
      <c r="D68" s="6">
        <f>IF(C68="","[ Pending ]", IF(C68=The_Archive!B33, "✅ Correct", "❌ Try Again"))</f>
        <v/>
      </c>
    </row>
    <row r="70">
      <c r="B70" s="4" t="inlineStr">
        <is>
          <t>33. Additional Task 33: Lookup Sales for EMP-133</t>
        </is>
      </c>
      <c r="C70" s="5" t="n"/>
      <c r="D70" s="6">
        <f>IF(C70="","[ Pending ]", IF(C70=The_Archive!B34, "✅ Correct", "❌ Try Again"))</f>
        <v/>
      </c>
    </row>
    <row r="72">
      <c r="B72" s="4" t="inlineStr">
        <is>
          <t>34. Additional Task 34: Lookup Sales for EMP-134</t>
        </is>
      </c>
      <c r="C72" s="5" t="n"/>
      <c r="D72" s="6">
        <f>IF(C72="","[ Pending ]", IF(C72=The_Archive!B35, "✅ Correct", "❌ Try Again"))</f>
        <v/>
      </c>
    </row>
    <row r="74">
      <c r="B74" s="4" t="inlineStr">
        <is>
          <t>35. Additional Task 35: Lookup Sales for EMP-135</t>
        </is>
      </c>
      <c r="C74" s="5" t="n"/>
      <c r="D74" s="6">
        <f>IF(C74="","[ Pending ]", IF(C74=The_Archive!B36, "✅ Correct", "❌ Try Again"))</f>
        <v/>
      </c>
    </row>
    <row r="76">
      <c r="B76" s="4" t="inlineStr">
        <is>
          <t>36. Additional Task 36: Lookup Sales for EMP-136</t>
        </is>
      </c>
      <c r="C76" s="5" t="n"/>
      <c r="D76" s="6">
        <f>IF(C76="","[ Pending ]", IF(C76=The_Archive!B37, "✅ Correct", "❌ Try Again"))</f>
        <v/>
      </c>
    </row>
    <row r="78">
      <c r="B78" s="4" t="inlineStr">
        <is>
          <t>37. Additional Task 37: Lookup Sales for EMP-137</t>
        </is>
      </c>
      <c r="C78" s="5" t="n"/>
      <c r="D78" s="6">
        <f>IF(C78="","[ Pending ]", IF(C78=The_Archive!B38, "✅ Correct", "❌ Try Again"))</f>
        <v/>
      </c>
    </row>
    <row r="80">
      <c r="B80" s="4" t="inlineStr">
        <is>
          <t>38. Additional Task 38: Lookup Sales for EMP-138</t>
        </is>
      </c>
      <c r="C80" s="5" t="n"/>
      <c r="D80" s="6">
        <f>IF(C80="","[ Pending ]", IF(C80=The_Archive!B39, "✅ Correct", "❌ Try Again"))</f>
        <v/>
      </c>
    </row>
    <row r="82">
      <c r="B82" s="4" t="inlineStr">
        <is>
          <t>39. Additional Task 39: Lookup Sales for EMP-139</t>
        </is>
      </c>
      <c r="C82" s="5" t="n"/>
      <c r="D82" s="6">
        <f>IF(C82="","[ Pending ]", IF(C82=The_Archive!B40, "✅ Correct", "❌ Try Again"))</f>
        <v/>
      </c>
    </row>
    <row r="84">
      <c r="B84" s="4" t="inlineStr">
        <is>
          <t>40. Additional Task 40: Lookup Sales for EMP-140</t>
        </is>
      </c>
      <c r="C84" s="5" t="n"/>
      <c r="D84" s="6">
        <f>IF(C84="","[ Pending ]", IF(C84=The_Archive!B41, "✅ Correct", "❌ Try Again"))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2026-05-06T20:43:52Z</dcterms:created>
  <dcterms:modified xmlns:dcterms="http://purl.org/dc/terms/" xmlns:xsi="http://www.w3.org/2001/XMLSchema-instance" xsi:type="dcterms:W3CDTF">2026-05-06T20:43:52Z</dcterms:modified>
</cp:coreProperties>
</file>