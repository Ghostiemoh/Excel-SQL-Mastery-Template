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1 — TRIM &amp; CLEAN" sheetId="2" state="visible" r:id="rId2"/>
    <sheet xmlns:r="http://schemas.openxmlformats.org/officeDocument/2006/relationships" name="Ex2 — Flash Fill" sheetId="3" state="visible" r:id="rId3"/>
    <sheet xmlns:r="http://schemas.openxmlformats.org/officeDocument/2006/relationships" name="Ex3 — Text Functions" sheetId="4" state="visible" r:id="rId4"/>
    <sheet xmlns:r="http://schemas.openxmlformats.org/officeDocument/2006/relationships" name="Ex4 — Date Fixing" sheetId="5" state="visible" r:id="rId5"/>
    <sheet xmlns:r="http://schemas.openxmlformats.org/officeDocument/2006/relationships" name="Ex5 — VLOOKUP Fix" sheetId="6" state="visible" r:id="rId6"/>
    <sheet xmlns:r="http://schemas.openxmlformats.org/officeDocument/2006/relationships" name="Answer Key" sheetId="7" state="visible" r:id="rId7"/>
    <sheet xmlns:r="http://schemas.openxmlformats.org/officeDocument/2006/relationships" name="Cheat She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1">
    <font>
      <name val="Calibri"/>
      <family val="2"/>
      <color theme="1"/>
      <sz val="11"/>
      <scheme val="minor"/>
    </font>
    <font>
      <name val="Arial"/>
      <b val="1"/>
      <color rgb="00217346"/>
      <sz val="20"/>
    </font>
    <font>
      <name val="Arial"/>
      <color rgb="00666666"/>
      <sz val="12"/>
    </font>
    <font>
      <name val="Arial"/>
      <b val="1"/>
      <color rgb="00333333"/>
      <sz val="14"/>
    </font>
    <font>
      <name val="Arial"/>
      <color rgb="00333333"/>
      <sz val="11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217346"/>
      <sz val="14"/>
    </font>
    <font>
      <name val="Arial"/>
      <i val="1"/>
      <color rgb="00999999"/>
      <sz val="11"/>
    </font>
    <font>
      <name val="Arial"/>
      <color rgb="00217346"/>
      <sz val="11"/>
    </font>
    <font>
      <name val="Arial"/>
      <i val="1"/>
      <color rgb="00888888"/>
      <sz val="10"/>
    </font>
    <font>
      <name val="Arial"/>
      <i val="1"/>
      <color rgb="007030A0"/>
      <sz val="11"/>
    </font>
    <font>
      <name val="Arial"/>
      <i val="1"/>
      <color rgb="00888888"/>
      <sz val="11"/>
    </font>
    <font>
      <name val="Arial"/>
      <b val="1"/>
      <color rgb="00FFFFFF"/>
      <sz val="10"/>
    </font>
    <font>
      <name val="Arial"/>
      <color rgb="00C00000"/>
      <sz val="11"/>
    </font>
    <font>
      <name val="Arial"/>
      <b val="1"/>
      <color rgb="00C00000"/>
      <sz val="16"/>
    </font>
    <font>
      <name val="Arial"/>
      <b val="1"/>
      <sz val="11"/>
    </font>
    <font>
      <name val="Consolas"/>
      <color rgb="00217346"/>
      <sz val="11"/>
    </font>
    <font>
      <name val="Arial"/>
      <b val="1"/>
      <color rgb="00217346"/>
      <sz val="16"/>
    </font>
    <font>
      <name val="Consolas"/>
      <b val="1"/>
      <color rgb="00217346"/>
      <sz val="11"/>
    </font>
    <font>
      <name val="Consolas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10" fillId="0" borderId="0" pivotButton="0" quotePrefix="0" xfId="0"/>
    <xf numFmtId="0" fontId="5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4" borderId="0" pivotButton="0" quotePrefix="0" xfId="0"/>
    <xf numFmtId="0" fontId="13" fillId="2" borderId="1" pivotButton="0" quotePrefix="0" xfId="0"/>
    <xf numFmtId="0" fontId="15" fillId="0" borderId="0" pivotButton="0" quotePrefix="0" xfId="0"/>
    <xf numFmtId="0" fontId="12" fillId="0" borderId="0" pivotButton="0" quotePrefix="0" xfId="0"/>
    <xf numFmtId="0" fontId="16" fillId="0" borderId="1" pivotButton="0" quotePrefix="0" xfId="0"/>
    <xf numFmtId="0" fontId="17" fillId="0" borderId="1" pivotButton="0" quotePrefix="0" xfId="0"/>
    <xf numFmtId="0" fontId="18" fillId="0" borderId="0" pivotButton="0" quotePrefix="0" xfId="0"/>
    <xf numFmtId="0" fontId="19" fillId="0" borderId="1" pivotButton="0" quotePrefix="0" xfId="0"/>
    <xf numFmtId="0" fontId="2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20" customWidth="1" min="3" max="3"/>
  </cols>
  <sheetData>
    <row r="1">
      <c r="A1" s="1" t="inlineStr">
        <is>
          <t>Excel Data Cleaning Exercises</t>
        </is>
      </c>
      <c r="B1" t="inlineStr"/>
      <c r="C1" t="inlineStr"/>
    </row>
    <row r="2">
      <c r="A2" s="2" t="inlineStr">
        <is>
          <t>by Ghostly Shadow (@Ghostiemoh)</t>
        </is>
      </c>
      <c r="B2" t="inlineStr"/>
      <c r="C2" t="inlineStr"/>
    </row>
    <row r="3">
      <c r="A3" t="inlineStr"/>
      <c r="B3" t="inlineStr"/>
      <c r="C3" t="inlineStr"/>
    </row>
    <row r="4">
      <c r="A4" s="3" t="inlineStr">
        <is>
          <t>HOW TO USE THIS WORKBOOK</t>
        </is>
      </c>
      <c r="B4" t="inlineStr"/>
      <c r="C4" t="inlineStr"/>
    </row>
    <row r="5">
      <c r="A5" t="inlineStr"/>
      <c r="B5" t="inlineStr"/>
      <c r="C5" t="inlineStr"/>
    </row>
    <row r="6">
      <c r="A6" s="4" t="inlineStr">
        <is>
          <t>This workbook contains 5 hands-on Excel exercises.</t>
        </is>
      </c>
      <c r="B6" t="inlineStr"/>
      <c r="C6" t="inlineStr"/>
    </row>
    <row r="7">
      <c r="A7" s="4" t="inlineStr">
        <is>
          <t>Each exercise has a DIRTY DATA section and a YOUR ANSWER section.</t>
        </is>
      </c>
      <c r="B7" t="inlineStr"/>
      <c r="C7" t="inlineStr"/>
    </row>
    <row r="8">
      <c r="A8" s="4" t="inlineStr">
        <is>
          <t>Write your formulas in the yellow 'Your Answer' column.</t>
        </is>
      </c>
      <c r="B8" t="inlineStr"/>
      <c r="C8" t="inlineStr"/>
    </row>
    <row r="9">
      <c r="A9" s="4" t="inlineStr">
        <is>
          <t>Check your work against the Answer Key sheet when done.</t>
        </is>
      </c>
      <c r="B9" t="inlineStr"/>
      <c r="C9" t="inlineStr"/>
    </row>
    <row r="10">
      <c r="A10" t="inlineStr"/>
      <c r="B10" t="inlineStr"/>
      <c r="C10" t="inlineStr"/>
    </row>
    <row r="11">
      <c r="A11" s="3" t="inlineStr">
        <is>
          <t>EXERCISE LIST</t>
        </is>
      </c>
      <c r="B11" t="inlineStr"/>
      <c r="C11" t="inlineStr"/>
    </row>
    <row r="12">
      <c r="A12" s="5" t="inlineStr">
        <is>
          <t>Exercise</t>
        </is>
      </c>
      <c r="B12" s="5" t="inlineStr">
        <is>
          <t>Skill</t>
        </is>
      </c>
      <c r="C12" s="5" t="inlineStr">
        <is>
          <t>Difficulty</t>
        </is>
      </c>
    </row>
    <row r="13">
      <c r="A13" s="6" t="inlineStr">
        <is>
          <t>1. TRIM &amp; CLEAN</t>
        </is>
      </c>
      <c r="B13" s="6" t="inlineStr">
        <is>
          <t>Remove extra spaces and non-printable characters</t>
        </is>
      </c>
      <c r="C13" s="6" t="inlineStr">
        <is>
          <t>Beginner</t>
        </is>
      </c>
    </row>
    <row r="14">
      <c r="A14" s="6" t="inlineStr">
        <is>
          <t>2. Flash Fill Patterns</t>
        </is>
      </c>
      <c r="B14" s="6" t="inlineStr">
        <is>
          <t>Extract first names, last names, domains</t>
        </is>
      </c>
      <c r="C14" s="6" t="inlineStr">
        <is>
          <t>Beginner</t>
        </is>
      </c>
    </row>
    <row r="15">
      <c r="A15" s="6" t="inlineStr">
        <is>
          <t>3. Text Functions</t>
        </is>
      </c>
      <c r="B15" s="6" t="inlineStr">
        <is>
          <t>UPPER, LOWER, PROPER, SUBSTITUTE, LEN</t>
        </is>
      </c>
      <c r="C15" s="6" t="inlineStr">
        <is>
          <t>Intermediate</t>
        </is>
      </c>
    </row>
    <row r="16">
      <c r="A16" s="6" t="inlineStr">
        <is>
          <t>4. Date Fixing</t>
        </is>
      </c>
      <c r="B16" s="6" t="inlineStr">
        <is>
          <t>Convert messy dates to a standard format</t>
        </is>
      </c>
      <c r="C16" s="6" t="inlineStr">
        <is>
          <t>Intermediate</t>
        </is>
      </c>
    </row>
    <row r="17">
      <c r="A17" s="6" t="inlineStr">
        <is>
          <t>5. VLOOKUP with Dirty Keys</t>
        </is>
      </c>
      <c r="B17" s="6" t="inlineStr">
        <is>
          <t>Fix lookup keys so VLOOKUP stops returning #N/A</t>
        </is>
      </c>
      <c r="C17" s="6" t="inlineStr">
        <is>
          <t>Advanced</t>
        </is>
      </c>
    </row>
    <row r="18">
      <c r="A18" t="inlineStr"/>
      <c r="B18" t="inlineStr"/>
      <c r="C18" t="inlineStr"/>
    </row>
    <row r="19">
      <c r="A19" s="3" t="inlineStr">
        <is>
          <t>TIPS</t>
        </is>
      </c>
      <c r="B19" t="inlineStr"/>
      <c r="C19" t="inlineStr"/>
    </row>
    <row r="20">
      <c r="A20" t="inlineStr">
        <is>
          <t>Always work on a COPY of your data, never the original.</t>
        </is>
      </c>
      <c r="B20" t="inlineStr"/>
      <c r="C20" t="inlineStr"/>
    </row>
    <row r="21">
      <c r="A21" t="inlineStr">
        <is>
          <t>Use Ctrl+` (backtick) to toggle formula view in any sheet.</t>
        </is>
      </c>
      <c r="B21" t="inlineStr"/>
      <c r="C21" t="inlineStr"/>
    </row>
    <row r="22">
      <c r="A22" t="inlineStr"/>
      <c r="B22" t="inlineStr"/>
      <c r="C22" t="inlineStr"/>
    </row>
    <row r="23">
      <c r="A23" t="inlineStr">
        <is>
          <t>Follow @Ghostiemoh on TikTok &amp; Instagram for more Excel tips.</t>
        </is>
      </c>
      <c r="B23" t="inlineStr"/>
      <c r="C23" t="inlineStr"/>
    </row>
    <row r="24">
      <c r="A24" t="inlineStr">
        <is>
          <t>Follow @Ghostieemoh on LinkedIn &amp; X.</t>
        </is>
      </c>
      <c r="B24" t="inlineStr"/>
      <c r="C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15" customWidth="1" min="4" max="4"/>
  </cols>
  <sheetData>
    <row r="1">
      <c r="A1" s="7" t="inlineStr">
        <is>
          <t>EXERCISE 1: Remove Extra Spaces with TRIM()</t>
        </is>
      </c>
    </row>
    <row r="2">
      <c r="A2" s="4" t="inlineStr">
        <is>
          <t>Goal: Use =TRIM() to clean the dirty text in column A. Write your formula in column B.</t>
        </is>
      </c>
    </row>
    <row r="3">
      <c r="A3" t="inlineStr"/>
    </row>
    <row r="4">
      <c r="A4" s="8" t="inlineStr">
        <is>
          <t>A: Dirty Text</t>
        </is>
      </c>
      <c r="B4" s="8" t="inlineStr">
        <is>
          <t>B: Your Answer (use TRIM)</t>
        </is>
      </c>
      <c r="C4" s="8" t="inlineStr">
        <is>
          <t>C: Expected Result</t>
        </is>
      </c>
      <c r="D4" s="8" t="inlineStr">
        <is>
          <t>D: Check</t>
        </is>
      </c>
    </row>
    <row r="5">
      <c r="A5" s="9" t="inlineStr">
        <is>
          <t xml:space="preserve">  John Doe  </t>
        </is>
      </c>
      <c r="B5" s="9" t="inlineStr"/>
      <c r="C5" s="9" t="inlineStr">
        <is>
          <t>John Doe</t>
        </is>
      </c>
      <c r="D5" s="9">
        <f>IF(B5="","",IF(B5=C5,"PASS","TRY AGAIN"))</f>
        <v/>
      </c>
    </row>
    <row r="6">
      <c r="A6" s="9" t="inlineStr">
        <is>
          <t xml:space="preserve">   Sarah   Johnson   </t>
        </is>
      </c>
      <c r="B6" s="9" t="inlineStr"/>
      <c r="C6" s="9" t="inlineStr">
        <is>
          <t>Sarah Johnson</t>
        </is>
      </c>
      <c r="D6" s="9">
        <f>IF(B6="","",IF(B6=C6,"PASS","TRY AGAIN"))</f>
        <v/>
      </c>
    </row>
    <row r="7">
      <c r="A7" s="9" t="inlineStr">
        <is>
          <t>Michael    Brown</t>
        </is>
      </c>
      <c r="B7" s="9" t="inlineStr"/>
      <c r="C7" s="9" t="inlineStr">
        <is>
          <t>Michael Brown</t>
        </is>
      </c>
      <c r="D7" s="9">
        <f>IF(B7="","",IF(B7=C7,"PASS","TRY AGAIN"))</f>
        <v/>
      </c>
    </row>
    <row r="8">
      <c r="A8" s="9" t="inlineStr">
        <is>
          <t xml:space="preserve">  Emily Davis</t>
        </is>
      </c>
      <c r="B8" s="9" t="inlineStr"/>
      <c r="C8" s="9" t="inlineStr">
        <is>
          <t>Emily Davis</t>
        </is>
      </c>
      <c r="D8" s="9">
        <f>IF(B8="","",IF(B8=C8,"PASS","TRY AGAIN"))</f>
        <v/>
      </c>
    </row>
    <row r="9">
      <c r="A9" s="9" t="inlineStr">
        <is>
          <t xml:space="preserve">James Wilson   </t>
        </is>
      </c>
      <c r="B9" s="9" t="inlineStr"/>
      <c r="C9" s="9" t="inlineStr">
        <is>
          <t>James Wilson</t>
        </is>
      </c>
      <c r="D9" s="9">
        <f>IF(B9="","",IF(B9=C9,"PASS","TRY AGAIN"))</f>
        <v/>
      </c>
    </row>
    <row r="10">
      <c r="A10" s="9" t="inlineStr">
        <is>
          <t xml:space="preserve">   Alice   </t>
        </is>
      </c>
      <c r="B10" s="9" t="inlineStr"/>
      <c r="C10" s="9" t="inlineStr">
        <is>
          <t>Alice</t>
        </is>
      </c>
      <c r="D10" s="9">
        <f>IF(B10="","",IF(B10=C10,"PASS","TRY AGAIN"))</f>
        <v/>
      </c>
    </row>
    <row r="11">
      <c r="A11" s="9" t="inlineStr">
        <is>
          <t xml:space="preserve">  Bob    Smith  </t>
        </is>
      </c>
      <c r="B11" s="9" t="inlineStr"/>
      <c r="C11" s="9" t="inlineStr">
        <is>
          <t>Bob Smith</t>
        </is>
      </c>
      <c r="D11" s="9">
        <f>IF(B11="","",IF(B11=C11,"PASS","TRY AGAIN"))</f>
        <v/>
      </c>
    </row>
    <row r="12">
      <c r="A12" s="9" t="inlineStr">
        <is>
          <t xml:space="preserve">   CHARLIE   brown   </t>
        </is>
      </c>
      <c r="B12" s="9" t="inlineStr"/>
      <c r="C12" s="9" t="inlineStr">
        <is>
          <t>CHARLIE brown</t>
        </is>
      </c>
      <c r="D12" s="9">
        <f>IF(B12="","",IF(B12=C12,"PASS","TRY AGAIN"))</f>
        <v/>
      </c>
    </row>
    <row r="13">
      <c r="A13" s="9" t="inlineStr">
        <is>
          <t>diana   PRINCE</t>
        </is>
      </c>
      <c r="B13" s="9" t="inlineStr"/>
      <c r="C13" s="9" t="inlineStr">
        <is>
          <t>diana PRINCE</t>
        </is>
      </c>
      <c r="D13" s="9">
        <f>IF(B13="","",IF(B13=C13,"PASS","TRY AGAIN"))</f>
        <v/>
      </c>
    </row>
    <row r="14">
      <c r="A14" s="9" t="inlineStr">
        <is>
          <t xml:space="preserve">  edward   norton  </t>
        </is>
      </c>
      <c r="B14" s="9" t="inlineStr"/>
      <c r="C14" s="9" t="inlineStr">
        <is>
          <t>edward norton</t>
        </is>
      </c>
      <c r="D14" s="9">
        <f>IF(B14="","",IF(B14=C14,"PASS","TRY AGAIN"))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25" customWidth="1" min="4" max="4"/>
    <col width="25" customWidth="1" min="5" max="5"/>
  </cols>
  <sheetData>
    <row r="1">
      <c r="A1" s="7" t="inlineStr">
        <is>
          <t>EXERCISE 2: Extract Data with Flash Fill or Formulas</t>
        </is>
      </c>
    </row>
    <row r="2">
      <c r="A2" s="4" t="inlineStr">
        <is>
          <t>Goal: Extract the First Name, Last Name, and Email Domain from each row.</t>
        </is>
      </c>
    </row>
    <row r="3">
      <c r="A3" s="10" t="inlineStr">
        <is>
          <t>Hint: Try typing the first answer then use Ctrl+E (Flash Fill), or use LEFT/RIGHT/MID/FIND formulas.</t>
        </is>
      </c>
    </row>
    <row r="4">
      <c r="A4" s="8" t="inlineStr">
        <is>
          <t>A: Full Name</t>
        </is>
      </c>
      <c r="B4" s="8" t="inlineStr">
        <is>
          <t>B: Email</t>
        </is>
      </c>
      <c r="C4" s="8" t="inlineStr">
        <is>
          <t>C: First Name (Your Answer)</t>
        </is>
      </c>
      <c r="D4" s="8" t="inlineStr">
        <is>
          <t>D: Last Name (Your Answer)</t>
        </is>
      </c>
      <c r="E4" s="8" t="inlineStr">
        <is>
          <t>E: Domain (Your Answer)</t>
        </is>
      </c>
    </row>
    <row r="5">
      <c r="A5" s="9" t="inlineStr">
        <is>
          <t>John Smith</t>
        </is>
      </c>
      <c r="B5" s="9" t="inlineStr">
        <is>
          <t>john.smith@gmail.com</t>
        </is>
      </c>
      <c r="C5" s="9" t="n"/>
      <c r="D5" s="9" t="n"/>
      <c r="E5" s="9" t="n"/>
    </row>
    <row r="6">
      <c r="A6" s="9" t="inlineStr">
        <is>
          <t>Sarah Johnson</t>
        </is>
      </c>
      <c r="B6" s="9" t="inlineStr">
        <is>
          <t>sarah.j@outlook.com</t>
        </is>
      </c>
      <c r="C6" s="9" t="n"/>
      <c r="D6" s="9" t="n"/>
      <c r="E6" s="9" t="n"/>
    </row>
    <row r="7">
      <c r="A7" s="9" t="inlineStr">
        <is>
          <t>Michael Brown</t>
        </is>
      </c>
      <c r="B7" s="9" t="inlineStr">
        <is>
          <t>m.brown@company.co</t>
        </is>
      </c>
      <c r="C7" s="9" t="n"/>
      <c r="D7" s="9" t="n"/>
      <c r="E7" s="9" t="n"/>
    </row>
    <row r="8">
      <c r="A8" s="9" t="inlineStr">
        <is>
          <t>Emily Davis</t>
        </is>
      </c>
      <c r="B8" s="9" t="inlineStr">
        <is>
          <t>emily.davis@yahoo.com</t>
        </is>
      </c>
      <c r="C8" s="9" t="n"/>
      <c r="D8" s="9" t="n"/>
      <c r="E8" s="9" t="n"/>
    </row>
    <row r="9">
      <c r="A9" s="9" t="inlineStr">
        <is>
          <t>James Wilson</t>
        </is>
      </c>
      <c r="B9" s="9" t="inlineStr">
        <is>
          <t>jwilson@hotmail.com</t>
        </is>
      </c>
      <c r="C9" s="9" t="n"/>
      <c r="D9" s="9" t="n"/>
      <c r="E9" s="9" t="n"/>
    </row>
    <row r="10">
      <c r="A10" s="9" t="inlineStr">
        <is>
          <t>Lisa Anderson</t>
        </is>
      </c>
      <c r="B10" s="9" t="inlineStr">
        <is>
          <t>l.anderson@work.org</t>
        </is>
      </c>
      <c r="C10" s="9" t="n"/>
      <c r="D10" s="9" t="n"/>
      <c r="E10" s="9" t="n"/>
    </row>
    <row r="11">
      <c r="A11" s="9" t="inlineStr">
        <is>
          <t>Robert Taylor</t>
        </is>
      </c>
      <c r="B11" s="9" t="inlineStr">
        <is>
          <t>rob.taylor@mail.com</t>
        </is>
      </c>
      <c r="C11" s="9" t="n"/>
      <c r="D11" s="9" t="n"/>
      <c r="E11" s="9" t="n"/>
    </row>
    <row r="12">
      <c r="A12" s="9" t="inlineStr">
        <is>
          <t>Jennifer Lee</t>
        </is>
      </c>
      <c r="B12" s="9" t="inlineStr">
        <is>
          <t>jen.lee@studio.io</t>
        </is>
      </c>
      <c r="C12" s="9" t="n"/>
      <c r="D12" s="9" t="n"/>
      <c r="E1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8" customWidth="1" min="3" max="3"/>
    <col width="28" customWidth="1" min="4" max="4"/>
    <col width="15" customWidth="1" min="5" max="5"/>
  </cols>
  <sheetData>
    <row r="1">
      <c r="A1" s="7" t="inlineStr">
        <is>
          <t>EXERCISE 3: Fix Text Casing &amp; Replace Characters</t>
        </is>
      </c>
    </row>
    <row r="2">
      <c r="A2" s="4" t="inlineStr">
        <is>
          <t>Goal: Use UPPER(), LOWER(), PROPER(), SUBSTITUTE(), and LEN() to transform the data.</t>
        </is>
      </c>
    </row>
    <row r="3">
      <c r="A3" t="inlineStr"/>
    </row>
    <row r="4">
      <c r="A4" s="8" t="inlineStr">
        <is>
          <t>A: Raw Text</t>
        </is>
      </c>
      <c r="B4" s="8" t="inlineStr">
        <is>
          <t>B: Task</t>
        </is>
      </c>
      <c r="C4" s="8" t="inlineStr">
        <is>
          <t>C: Your Answer</t>
        </is>
      </c>
      <c r="D4" s="8" t="inlineStr">
        <is>
          <t>D: Expected</t>
        </is>
      </c>
      <c r="E4" s="8" t="inlineStr">
        <is>
          <t>E: Check</t>
        </is>
      </c>
    </row>
    <row r="5">
      <c r="A5" s="9" t="inlineStr">
        <is>
          <t>john doe</t>
        </is>
      </c>
      <c r="B5" s="9" t="inlineStr">
        <is>
          <t>Convert to UPPERCASE</t>
        </is>
      </c>
      <c r="C5" s="9" t="inlineStr"/>
      <c r="D5" s="9" t="inlineStr">
        <is>
          <t>JOHN DOE</t>
        </is>
      </c>
      <c r="E5" s="9">
        <f>IF(C5="","",IF(C5=D5,"PASS","TRY AGAIN"))</f>
        <v/>
      </c>
    </row>
    <row r="6">
      <c r="A6" s="9" t="inlineStr">
        <is>
          <t>SARAH JOHNSON</t>
        </is>
      </c>
      <c r="B6" s="9" t="inlineStr">
        <is>
          <t>Convert to lowercase</t>
        </is>
      </c>
      <c r="C6" s="9" t="inlineStr"/>
      <c r="D6" s="9" t="inlineStr">
        <is>
          <t>sarah johnson</t>
        </is>
      </c>
      <c r="E6" s="9">
        <f>IF(C6="","",IF(C6=D6,"PASS","TRY AGAIN"))</f>
        <v/>
      </c>
    </row>
    <row r="7">
      <c r="A7" s="9" t="inlineStr">
        <is>
          <t>michael brown</t>
        </is>
      </c>
      <c r="B7" s="9" t="inlineStr">
        <is>
          <t>Convert to Proper Case</t>
        </is>
      </c>
      <c r="C7" s="9" t="inlineStr"/>
      <c r="D7" s="9" t="inlineStr">
        <is>
          <t>Michael Brown</t>
        </is>
      </c>
      <c r="E7" s="9">
        <f>IF(C7="","",IF(C7=D7,"PASS","TRY AGAIN"))</f>
        <v/>
      </c>
    </row>
    <row r="8">
      <c r="A8" s="9" t="inlineStr">
        <is>
          <t>emily-davis</t>
        </is>
      </c>
      <c r="B8" s="9" t="inlineStr">
        <is>
          <t>Replace - with a space</t>
        </is>
      </c>
      <c r="C8" s="9" t="inlineStr"/>
      <c r="D8" s="9" t="inlineStr">
        <is>
          <t>emily davis</t>
        </is>
      </c>
      <c r="E8" s="9">
        <f>IF(C8="","",IF(C8=D8,"PASS","TRY AGAIN"))</f>
        <v/>
      </c>
    </row>
    <row r="9">
      <c r="A9" s="9" t="inlineStr">
        <is>
          <t xml:space="preserve">  James Wilson  </t>
        </is>
      </c>
      <c r="B9" s="9" t="inlineStr">
        <is>
          <t>TRIM + PROPER Case</t>
        </is>
      </c>
      <c r="C9" s="9" t="inlineStr"/>
      <c r="D9" s="9" t="inlineStr">
        <is>
          <t>James Wilson</t>
        </is>
      </c>
      <c r="E9" s="9">
        <f>IF(C9="","",IF(C9=D9,"PASS","TRY AGAIN"))</f>
        <v/>
      </c>
    </row>
    <row r="10">
      <c r="A10" s="9" t="inlineStr">
        <is>
          <t>bob@company.com</t>
        </is>
      </c>
      <c r="B10" s="9" t="inlineStr">
        <is>
          <t>Replace @ with [at]</t>
        </is>
      </c>
      <c r="C10" s="9" t="inlineStr"/>
      <c r="D10" s="9" t="inlineStr">
        <is>
          <t>bob[at]company.com</t>
        </is>
      </c>
      <c r="E10" s="9">
        <f>IF(C10="","",IF(C10=D10,"PASS","TRY AGAIN"))</f>
        <v/>
      </c>
    </row>
    <row r="11">
      <c r="A11" s="9" t="inlineStr">
        <is>
          <t>2024/05/12</t>
        </is>
      </c>
      <c r="B11" s="9" t="inlineStr">
        <is>
          <t>Replace / with -</t>
        </is>
      </c>
      <c r="C11" s="9" t="inlineStr"/>
      <c r="D11" s="9" t="inlineStr">
        <is>
          <t>2024-05-12</t>
        </is>
      </c>
      <c r="E11" s="9">
        <f>IF(C11="","",IF(C11=D11,"PASS","TRY AGAIN"))</f>
        <v/>
      </c>
    </row>
    <row r="12">
      <c r="A12" s="9" t="inlineStr">
        <is>
          <t>Hello World</t>
        </is>
      </c>
      <c r="B12" s="9" t="inlineStr">
        <is>
          <t>Count the characters</t>
        </is>
      </c>
      <c r="C12" s="9" t="inlineStr"/>
      <c r="D12" s="9" t="inlineStr">
        <is>
          <t>11</t>
        </is>
      </c>
      <c r="E12" s="9">
        <f>IF(C12="","",IF(C12=D12,"PASS","TRY AGAIN"))</f>
        <v/>
      </c>
    </row>
    <row r="13">
      <c r="A13" s="9" t="inlineStr">
        <is>
          <t xml:space="preserve">  extra   spaces  </t>
        </is>
      </c>
      <c r="B13" s="9" t="inlineStr">
        <is>
          <t>TRIM then count length</t>
        </is>
      </c>
      <c r="C13" s="9" t="inlineStr"/>
      <c r="D13" s="9" t="inlineStr">
        <is>
          <t>12</t>
        </is>
      </c>
      <c r="E13" s="9">
        <f>IF(C13="","",IF(C13=D13,"PASS","TRY AGAIN"))</f>
        <v/>
      </c>
    </row>
    <row r="14">
      <c r="A14" s="9" t="inlineStr">
        <is>
          <t>NEW YORK CITY</t>
        </is>
      </c>
      <c r="B14" s="9" t="inlineStr">
        <is>
          <t>Convert to Proper Case</t>
        </is>
      </c>
      <c r="C14" s="9" t="inlineStr"/>
      <c r="D14" s="9" t="inlineStr">
        <is>
          <t>New York City</t>
        </is>
      </c>
      <c r="E14" s="9">
        <f>IF(C14="","",IF(C14=D14,"PASS","TRY AGAIN"))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32" customWidth="1" min="3" max="3"/>
    <col width="22" customWidth="1" min="4" max="4"/>
  </cols>
  <sheetData>
    <row r="1">
      <c r="A1" s="7" t="inlineStr">
        <is>
          <t>EXERCISE 4: Standardize Messy Dates</t>
        </is>
      </c>
    </row>
    <row r="2">
      <c r="A2" s="4" t="inlineStr">
        <is>
          <t>Goal: Convert each messy date into the standard format YYYY-MM-DD using formulas.</t>
        </is>
      </c>
    </row>
    <row r="3">
      <c r="A3" s="10" t="inlineStr">
        <is>
          <t>Hint: Try DATE(), DATEVALUE(), TEXT(), MID(), LEFT(), RIGHT() combinations.</t>
        </is>
      </c>
    </row>
    <row r="4">
      <c r="A4" s="8" t="inlineStr">
        <is>
          <t>A: Messy Date</t>
        </is>
      </c>
      <c r="B4" s="8" t="inlineStr">
        <is>
          <t>B: Format It Came In</t>
        </is>
      </c>
      <c r="C4" s="8" t="inlineStr">
        <is>
          <t>C: Your Answer (YYYY-MM-DD)</t>
        </is>
      </c>
      <c r="D4" s="8" t="inlineStr">
        <is>
          <t>D: Expected</t>
        </is>
      </c>
    </row>
    <row r="5">
      <c r="A5" s="9" t="inlineStr">
        <is>
          <t>05/12/2024</t>
        </is>
      </c>
      <c r="B5" s="9" t="inlineStr">
        <is>
          <t>MM/DD/YYYY</t>
        </is>
      </c>
      <c r="C5" s="9" t="inlineStr"/>
      <c r="D5" s="9" t="inlineStr">
        <is>
          <t>2024-05-12</t>
        </is>
      </c>
    </row>
    <row r="6">
      <c r="A6" s="9" t="inlineStr">
        <is>
          <t>12-May-2024</t>
        </is>
      </c>
      <c r="B6" s="9" t="inlineStr">
        <is>
          <t>DD-Mon-YYYY</t>
        </is>
      </c>
      <c r="C6" s="9" t="inlineStr"/>
      <c r="D6" s="9" t="inlineStr">
        <is>
          <t>2024-05-12</t>
        </is>
      </c>
    </row>
    <row r="7">
      <c r="A7" s="9" t="inlineStr">
        <is>
          <t>2024.05.12</t>
        </is>
      </c>
      <c r="B7" s="9" t="inlineStr">
        <is>
          <t>YYYY.MM.DD</t>
        </is>
      </c>
      <c r="C7" s="9" t="inlineStr"/>
      <c r="D7" s="9" t="inlineStr">
        <is>
          <t>2024-05-12</t>
        </is>
      </c>
    </row>
    <row r="8">
      <c r="A8" s="9" t="inlineStr">
        <is>
          <t>May 12, 2024</t>
        </is>
      </c>
      <c r="B8" s="9" t="inlineStr">
        <is>
          <t>Mon DD, YYYY</t>
        </is>
      </c>
      <c r="C8" s="9" t="inlineStr"/>
      <c r="D8" s="9" t="inlineStr">
        <is>
          <t>2024-05-12</t>
        </is>
      </c>
    </row>
    <row r="9">
      <c r="A9" s="9" t="inlineStr">
        <is>
          <t>20240512</t>
        </is>
      </c>
      <c r="B9" s="9" t="inlineStr">
        <is>
          <t>YYYYMMDD</t>
        </is>
      </c>
      <c r="C9" s="9" t="inlineStr"/>
      <c r="D9" s="9" t="inlineStr">
        <is>
          <t>2024-05-12</t>
        </is>
      </c>
    </row>
    <row r="10">
      <c r="A10" s="9" t="inlineStr">
        <is>
          <t>12/05/24</t>
        </is>
      </c>
      <c r="B10" s="9" t="inlineStr">
        <is>
          <t>DD/MM/YY</t>
        </is>
      </c>
      <c r="C10" s="9" t="inlineStr"/>
      <c r="D10" s="9" t="inlineStr">
        <is>
          <t>2024-05-12</t>
        </is>
      </c>
    </row>
    <row r="11">
      <c r="A11" s="9" t="inlineStr">
        <is>
          <t>2024-05-12</t>
        </is>
      </c>
      <c r="B11" s="9" t="inlineStr">
        <is>
          <t>Already correct!</t>
        </is>
      </c>
      <c r="C11" s="9" t="inlineStr"/>
      <c r="D11" s="9" t="inlineStr">
        <is>
          <t>2024-05-12</t>
        </is>
      </c>
    </row>
    <row r="12">
      <c r="A12" s="9" t="inlineStr">
        <is>
          <t>05-12-2024</t>
        </is>
      </c>
      <c r="B12" s="9" t="inlineStr">
        <is>
          <t>MM-DD-YYYY</t>
        </is>
      </c>
      <c r="C12" s="9" t="inlineStr"/>
      <c r="D12" s="9" t="inlineStr">
        <is>
          <t>2024-05-12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8" customWidth="1" min="4" max="4"/>
    <col width="18" customWidth="1" min="5" max="5"/>
    <col width="12" customWidth="1" min="6" max="6"/>
  </cols>
  <sheetData>
    <row r="1">
      <c r="A1" s="7" t="inlineStr">
        <is>
          <t>EXERCISE 5: Fix VLOOKUP #N/A Errors from Dirty Keys</t>
        </is>
      </c>
    </row>
    <row r="2">
      <c r="A2" s="4" t="inlineStr">
        <is>
          <t>Goal: The VLOOKUP in column D returns #N/A because the keys are dirty. Fix column B first, then the VLOOKUP works.</t>
        </is>
      </c>
    </row>
    <row r="3">
      <c r="A3" s="10" t="inlineStr">
        <is>
          <t>Hint: Use TRIM() + LOWER() or TRIM() + UPPER() to standardize both sides before looking up.</t>
        </is>
      </c>
    </row>
    <row r="4">
      <c r="A4" s="11" t="inlineStr">
        <is>
          <t>LOOKUP TABLE</t>
        </is>
      </c>
    </row>
    <row r="5">
      <c r="A5" s="5" t="inlineStr">
        <is>
          <t>Product ID (Clean)</t>
        </is>
      </c>
      <c r="B5" s="5" t="inlineStr">
        <is>
          <t>Product Name</t>
        </is>
      </c>
      <c r="C5" s="5" t="inlineStr">
        <is>
          <t>Price</t>
        </is>
      </c>
    </row>
    <row r="6">
      <c r="A6" s="12" t="inlineStr">
        <is>
          <t>SKU-001</t>
        </is>
      </c>
      <c r="B6" s="12" t="inlineStr">
        <is>
          <t>Wireless Mouse</t>
        </is>
      </c>
      <c r="C6" s="13" t="n">
        <v>29.99</v>
      </c>
    </row>
    <row r="7">
      <c r="A7" s="12" t="inlineStr">
        <is>
          <t>SKU-002</t>
        </is>
      </c>
      <c r="B7" s="12" t="inlineStr">
        <is>
          <t>USB Keyboard</t>
        </is>
      </c>
      <c r="C7" s="13" t="n">
        <v>49.99</v>
      </c>
    </row>
    <row r="8">
      <c r="A8" s="12" t="inlineStr">
        <is>
          <t>SKU-003</t>
        </is>
      </c>
      <c r="B8" s="12" t="inlineStr">
        <is>
          <t>Monitor Stand</t>
        </is>
      </c>
      <c r="C8" s="13" t="n">
        <v>79.98999999999999</v>
      </c>
    </row>
    <row r="9">
      <c r="A9" s="12" t="inlineStr">
        <is>
          <t>SKU-004</t>
        </is>
      </c>
      <c r="B9" s="12" t="inlineStr">
        <is>
          <t>Webcam HD</t>
        </is>
      </c>
      <c r="C9" s="13" t="n">
        <v>59.99</v>
      </c>
    </row>
    <row r="10">
      <c r="A10" s="12" t="inlineStr">
        <is>
          <t>SKU-005</t>
        </is>
      </c>
      <c r="B10" s="12" t="inlineStr">
        <is>
          <t>Desk Lamp</t>
        </is>
      </c>
      <c r="C10" s="13" t="n">
        <v>34.99</v>
      </c>
    </row>
    <row r="12">
      <c r="A12" s="14" t="inlineStr">
        <is>
          <t>ORDER TABLE (Dirty Keys)</t>
        </is>
      </c>
    </row>
    <row r="13">
      <c r="A13" s="15" t="inlineStr">
        <is>
          <t>Order #</t>
        </is>
      </c>
      <c r="B13" s="15" t="inlineStr">
        <is>
          <t>Dirty Product ID</t>
        </is>
      </c>
      <c r="C13" s="15" t="inlineStr">
        <is>
          <t>C: Clean the ID (Your Answer)</t>
        </is>
      </c>
      <c r="D13" s="15" t="inlineStr">
        <is>
          <t>D: VLOOKUP Product Name</t>
        </is>
      </c>
      <c r="E13" s="15" t="inlineStr">
        <is>
          <t>E: VLOOKUP Price</t>
        </is>
      </c>
      <c r="F13" s="15" t="inlineStr">
        <is>
          <t>F: Check</t>
        </is>
      </c>
    </row>
    <row r="14">
      <c r="A14" s="9" t="n">
        <v>1001</v>
      </c>
      <c r="B14" s="9" t="inlineStr">
        <is>
          <t xml:space="preserve">  SKU-001  </t>
        </is>
      </c>
      <c r="C14" s="9" t="inlineStr"/>
      <c r="D14" s="9" t="inlineStr"/>
      <c r="E14" s="9" t="inlineStr"/>
      <c r="F14" s="9">
        <f>IF(D14="","",IF(ISNUMBER(E14),"PASS","CHECK"))</f>
        <v/>
      </c>
    </row>
    <row r="15">
      <c r="A15" s="9" t="n">
        <v>1002</v>
      </c>
      <c r="B15" s="9" t="inlineStr">
        <is>
          <t>sku-002</t>
        </is>
      </c>
      <c r="C15" s="9" t="inlineStr"/>
      <c r="D15" s="9" t="inlineStr"/>
      <c r="E15" s="9" t="inlineStr"/>
      <c r="F15" s="9">
        <f>IF(D15="","",IF(ISNUMBER(E15),"PASS","CHECK"))</f>
        <v/>
      </c>
    </row>
    <row r="16">
      <c r="A16" s="9" t="n">
        <v>1003</v>
      </c>
      <c r="B16" s="9" t="inlineStr">
        <is>
          <t xml:space="preserve"> SKU-003</t>
        </is>
      </c>
      <c r="C16" s="9" t="inlineStr"/>
      <c r="D16" s="9" t="inlineStr"/>
      <c r="E16" s="9" t="inlineStr"/>
      <c r="F16" s="9">
        <f>IF(D16="","",IF(ISNUMBER(E16),"PASS","CHECK"))</f>
        <v/>
      </c>
    </row>
    <row r="17">
      <c r="A17" s="9" t="n">
        <v>1004</v>
      </c>
      <c r="B17" s="9" t="inlineStr">
        <is>
          <t xml:space="preserve">  sku-004  </t>
        </is>
      </c>
      <c r="C17" s="9" t="inlineStr"/>
      <c r="D17" s="9" t="inlineStr"/>
      <c r="E17" s="9" t="inlineStr"/>
      <c r="F17" s="9">
        <f>IF(D17="","",IF(ISNUMBER(E17),"PASS","CHECK"))</f>
        <v/>
      </c>
    </row>
    <row r="18">
      <c r="A18" s="9" t="n">
        <v>1005</v>
      </c>
      <c r="B18" s="9" t="inlineStr">
        <is>
          <t xml:space="preserve">SKU-005 </t>
        </is>
      </c>
      <c r="C18" s="9" t="inlineStr"/>
      <c r="D18" s="9" t="inlineStr"/>
      <c r="E18" s="9" t="inlineStr"/>
      <c r="F18" s="9">
        <f>IF(D18="","",IF(ISNUMBER(E18),"PASS","CHECK"))</f>
        <v/>
      </c>
    </row>
    <row r="19">
      <c r="A19" s="9" t="n">
        <v>1006</v>
      </c>
      <c r="B19" s="9" t="inlineStr">
        <is>
          <t xml:space="preserve"> sku-001 </t>
        </is>
      </c>
      <c r="C19" s="9" t="inlineStr"/>
      <c r="D19" s="9" t="inlineStr"/>
      <c r="E19" s="9" t="inlineStr"/>
      <c r="F19" s="9">
        <f>IF(D19="","",IF(ISNUMBER(E19),"PASS","CHECK"))</f>
        <v/>
      </c>
    </row>
    <row r="20">
      <c r="A20" s="9" t="n">
        <v>1007</v>
      </c>
      <c r="B20" s="9" t="inlineStr">
        <is>
          <t xml:space="preserve">  SKU-003  </t>
        </is>
      </c>
      <c r="C20" s="9" t="inlineStr"/>
      <c r="D20" s="9" t="inlineStr"/>
      <c r="E20" s="9" t="inlineStr"/>
      <c r="F20" s="9">
        <f>IF(D20="","",IF(ISNUMBER(E20),"PASS","CHECK"))</f>
        <v/>
      </c>
    </row>
    <row r="21">
      <c r="A21" s="9" t="n">
        <v>1008</v>
      </c>
      <c r="B21" s="9" t="inlineStr">
        <is>
          <t>sku-005</t>
        </is>
      </c>
      <c r="C21" s="9" t="inlineStr"/>
      <c r="D21" s="9" t="inlineStr"/>
      <c r="E21" s="9" t="inlineStr"/>
      <c r="F21" s="9">
        <f>IF(D21="","",IF(ISNUMBER(E21),"PASS","CHECK"))</f>
        <v/>
      </c>
    </row>
  </sheetData>
  <mergeCells count="2">
    <mergeCell ref="A4:C4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33333"/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6" t="inlineStr">
        <is>
          <t>ANSWER KEY — Spoiler Alert!</t>
        </is>
      </c>
    </row>
    <row r="2">
      <c r="A2" s="17" t="inlineStr">
        <is>
          <t>Only check this after you have tried each exercise yourself.</t>
        </is>
      </c>
    </row>
    <row r="3">
      <c r="A3" t="inlineStr"/>
    </row>
    <row r="4">
      <c r="A4" s="5" t="inlineStr">
        <is>
          <t>Exercise</t>
        </is>
      </c>
      <c r="B4" s="5" t="inlineStr">
        <is>
          <t>Formula / Method</t>
        </is>
      </c>
    </row>
    <row r="5">
      <c r="A5" s="18" t="inlineStr">
        <is>
          <t>Ex1: TRIM</t>
        </is>
      </c>
      <c r="B5" s="19">
        <f>TRIM(A5)  — apply to each row</f>
        <v/>
      </c>
    </row>
    <row r="6">
      <c r="A6" s="18" t="inlineStr">
        <is>
          <t>Ex2: Flash Fill</t>
        </is>
      </c>
      <c r="B6" s="19" t="inlineStr">
        <is>
          <t>Type "John" in C5, then Ctrl+E. Or use: =LEFT(A5, FIND(" ",A5)-1)</t>
        </is>
      </c>
    </row>
    <row r="7">
      <c r="A7" s="18" t="inlineStr">
        <is>
          <t>Ex2: Last Name</t>
        </is>
      </c>
      <c r="B7" s="19">
        <f>MID(A5, FIND(" ",A5)+1, 100)</f>
        <v/>
      </c>
    </row>
    <row r="8">
      <c r="A8" s="18" t="inlineStr">
        <is>
          <t>Ex2: Domain</t>
        </is>
      </c>
      <c r="B8" s="19">
        <f>MID(B5, FIND("@",B5)+1, 100)</f>
        <v/>
      </c>
    </row>
    <row r="9">
      <c r="A9" s="18" t="inlineStr">
        <is>
          <t>Ex3: UPPER</t>
        </is>
      </c>
      <c r="B9" s="19">
        <f>UPPER(A5)</f>
        <v/>
      </c>
    </row>
    <row r="10">
      <c r="A10" s="18" t="inlineStr">
        <is>
          <t>Ex3: LOWER</t>
        </is>
      </c>
      <c r="B10" s="19">
        <f>LOWER(A6)</f>
        <v/>
      </c>
    </row>
    <row r="11">
      <c r="A11" s="18" t="inlineStr">
        <is>
          <t>Ex3: PROPER</t>
        </is>
      </c>
      <c r="B11" s="19">
        <f>PROPER(A7)</f>
        <v/>
      </c>
    </row>
    <row r="12">
      <c r="A12" s="18" t="inlineStr">
        <is>
          <t>Ex3: SUBSTITUTE</t>
        </is>
      </c>
      <c r="B12" s="19">
        <f>SUBSTITUTE(A8, "-", " ")</f>
        <v/>
      </c>
    </row>
    <row r="13">
      <c r="A13" s="18" t="inlineStr">
        <is>
          <t>Ex3: TRIM+PROPER</t>
        </is>
      </c>
      <c r="B13" s="19">
        <f>PROPER(TRIM(A9))</f>
        <v/>
      </c>
    </row>
    <row r="14">
      <c r="A14" s="18" t="inlineStr">
        <is>
          <t>Ex3: Replace @</t>
        </is>
      </c>
      <c r="B14" s="19">
        <f>SUBSTITUTE(A10, "@", "[at]")</f>
        <v/>
      </c>
    </row>
    <row r="15">
      <c r="A15" s="18" t="inlineStr">
        <is>
          <t>Ex3: Replace /</t>
        </is>
      </c>
      <c r="B15" s="19">
        <f>SUBSTITUTE(A11, "/", "-")</f>
        <v/>
      </c>
    </row>
    <row r="16">
      <c r="A16" s="18" t="inlineStr">
        <is>
          <t>Ex3: LEN</t>
        </is>
      </c>
      <c r="B16" s="19">
        <f>LEN(A12)</f>
        <v/>
      </c>
    </row>
    <row r="17">
      <c r="A17" s="18" t="inlineStr">
        <is>
          <t>Ex3: TRIM+LEN</t>
        </is>
      </c>
      <c r="B17" s="19">
        <f>LEN(TRIM(A13))</f>
        <v/>
      </c>
    </row>
    <row r="18">
      <c r="A18" s="18" t="inlineStr">
        <is>
          <t>Ex4: Dates</t>
        </is>
      </c>
      <c r="B18" s="19" t="inlineStr">
        <is>
          <t>Varies by format. Use TEXT(DATEVALUE(A5), "YYYY-MM-DD")</t>
        </is>
      </c>
    </row>
    <row r="19">
      <c r="A19" s="18" t="inlineStr">
        <is>
          <t>Ex5: Clean ID</t>
        </is>
      </c>
      <c r="B19" s="19">
        <f>TRIM(UPPER(B14))</f>
        <v/>
      </c>
    </row>
    <row r="20">
      <c r="A20" s="18" t="inlineStr">
        <is>
          <t>Ex5: VLOOKUP Name</t>
        </is>
      </c>
      <c r="B20" s="19">
        <f>VLOOKUP(C14, $A$6:$C$10, 2, FALSE)</f>
        <v/>
      </c>
    </row>
    <row r="21">
      <c r="A21" s="18" t="inlineStr">
        <is>
          <t>Ex5: VLOOKUP Price</t>
        </is>
      </c>
      <c r="B21" s="19">
        <f>VLOOKUP(C14, $A$6:$C$10, 3, FALSE)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17346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</cols>
  <sheetData>
    <row r="1">
      <c r="A1" s="20" t="inlineStr">
        <is>
          <t>EXCEL DATA CLEANING CHEAT SHEET</t>
        </is>
      </c>
    </row>
    <row r="2">
      <c r="A2" t="inlineStr"/>
    </row>
    <row r="3">
      <c r="A3" s="5" t="inlineStr">
        <is>
          <t>Function</t>
        </is>
      </c>
      <c r="B3" s="5" t="inlineStr">
        <is>
          <t>What It Does</t>
        </is>
      </c>
      <c r="C3" s="5" t="inlineStr">
        <is>
          <t>Example</t>
        </is>
      </c>
    </row>
    <row r="4">
      <c r="A4" s="21" t="inlineStr">
        <is>
          <t>TRIM()</t>
        </is>
      </c>
      <c r="B4" s="6" t="inlineStr">
        <is>
          <t>Removes leading, trailing, and double spaces</t>
        </is>
      </c>
      <c r="C4" s="22">
        <f>TRIM("  hello  world  ") → "hello world"</f>
        <v/>
      </c>
    </row>
    <row r="5">
      <c r="A5" s="21" t="inlineStr">
        <is>
          <t>CLEAN()</t>
        </is>
      </c>
      <c r="B5" s="6" t="inlineStr">
        <is>
          <t>Removes non-printable characters</t>
        </is>
      </c>
      <c r="C5" s="22">
        <f>CLEAN(A2)</f>
        <v/>
      </c>
    </row>
    <row r="6">
      <c r="A6" s="21" t="inlineStr">
        <is>
          <t>UPPER()</t>
        </is>
      </c>
      <c r="B6" s="6" t="inlineStr">
        <is>
          <t>Converts text to UPPERCASE</t>
        </is>
      </c>
      <c r="C6" s="22">
        <f>UPPER("hello") → "HELLO"</f>
        <v/>
      </c>
    </row>
    <row r="7">
      <c r="A7" s="21" t="inlineStr">
        <is>
          <t>LOWER()</t>
        </is>
      </c>
      <c r="B7" s="6" t="inlineStr">
        <is>
          <t>Converts text to lowercase</t>
        </is>
      </c>
      <c r="C7" s="22">
        <f>LOWER("HELLO") → "hello"</f>
        <v/>
      </c>
    </row>
    <row r="8">
      <c r="A8" s="21" t="inlineStr">
        <is>
          <t>PROPER()</t>
        </is>
      </c>
      <c r="B8" s="6" t="inlineStr">
        <is>
          <t>Capitalizes First Letter Of Each Word</t>
        </is>
      </c>
      <c r="C8" s="22">
        <f>PROPER("john doe") → "John Doe"</f>
        <v/>
      </c>
    </row>
    <row r="9">
      <c r="A9" s="21" t="inlineStr">
        <is>
          <t>SUBSTITUTE()</t>
        </is>
      </c>
      <c r="B9" s="6" t="inlineStr">
        <is>
          <t>Replaces specific text</t>
        </is>
      </c>
      <c r="C9" s="22">
        <f>SUBSTITUTE("2024/05/12","/","-") → "2024-05-12"</f>
        <v/>
      </c>
    </row>
    <row r="10">
      <c r="A10" s="21" t="inlineStr">
        <is>
          <t>LEN()</t>
        </is>
      </c>
      <c r="B10" s="6" t="inlineStr">
        <is>
          <t>Counts characters in a cell</t>
        </is>
      </c>
      <c r="C10" s="22">
        <f>LEN("Excel") → 5</f>
        <v/>
      </c>
    </row>
    <row r="11">
      <c r="A11" s="21" t="inlineStr">
        <is>
          <t>LEFT()</t>
        </is>
      </c>
      <c r="B11" s="6" t="inlineStr">
        <is>
          <t>Extracts characters from the left</t>
        </is>
      </c>
      <c r="C11" s="22">
        <f>LEFT("John Smith",4) → "John"</f>
        <v/>
      </c>
    </row>
    <row r="12">
      <c r="A12" s="21" t="inlineStr">
        <is>
          <t>RIGHT()</t>
        </is>
      </c>
      <c r="B12" s="6" t="inlineStr">
        <is>
          <t>Extracts characters from the right</t>
        </is>
      </c>
      <c r="C12" s="22">
        <f>RIGHT("john@mail.com",8) → "mail.com"</f>
        <v/>
      </c>
    </row>
    <row r="13">
      <c r="A13" s="21" t="inlineStr">
        <is>
          <t>MID()</t>
        </is>
      </c>
      <c r="B13" s="6" t="inlineStr">
        <is>
          <t>Extracts characters from the middle</t>
        </is>
      </c>
      <c r="C13" s="22">
        <f>MID("Hello World",7,5) → "World"</f>
        <v/>
      </c>
    </row>
    <row r="14">
      <c r="A14" s="21" t="inlineStr">
        <is>
          <t>FIND()</t>
        </is>
      </c>
      <c r="B14" s="6" t="inlineStr">
        <is>
          <t>Finds position of a character</t>
        </is>
      </c>
      <c r="C14" s="22">
        <f>FIND("@","bob@mail.com") → 4</f>
        <v/>
      </c>
    </row>
    <row r="15">
      <c r="A15" s="21" t="inlineStr">
        <is>
          <t>TEXT()</t>
        </is>
      </c>
      <c r="B15" s="6" t="inlineStr">
        <is>
          <t>Formats numbers/dates as text</t>
        </is>
      </c>
      <c r="C15" s="22">
        <f>TEXT(TODAY(),"YYYY-MM-DD")</f>
        <v/>
      </c>
    </row>
    <row r="16">
      <c r="A16" s="21" t="inlineStr">
        <is>
          <t>DATEVALUE()</t>
        </is>
      </c>
      <c r="B16" s="6" t="inlineStr">
        <is>
          <t>Converts text date to date serial</t>
        </is>
      </c>
      <c r="C16" s="22">
        <f>DATEVALUE("2024-05-12")</f>
        <v/>
      </c>
    </row>
    <row r="17">
      <c r="A17" s="21" t="inlineStr">
        <is>
          <t>VLOOKUP()</t>
        </is>
      </c>
      <c r="B17" s="6" t="inlineStr">
        <is>
          <t>Looks up a value in a table</t>
        </is>
      </c>
      <c r="C17" s="22">
        <f>VLOOKUP(A2, Table, 2, FALSE)</f>
        <v/>
      </c>
    </row>
    <row r="18">
      <c r="A18" s="21" t="inlineStr">
        <is>
          <t>IFERROR()</t>
        </is>
      </c>
      <c r="B18" s="6" t="inlineStr">
        <is>
          <t>Catches errors gracefully</t>
        </is>
      </c>
      <c r="C18" s="22">
        <f>IFERROR(VLOOKUP(...),"Not Found")</f>
        <v/>
      </c>
    </row>
    <row r="19">
      <c r="A19" s="21" t="inlineStr">
        <is>
          <t>Flash Fill</t>
        </is>
      </c>
      <c r="B19" s="6" t="inlineStr">
        <is>
          <t>Ctrl + E after typing one example</t>
        </is>
      </c>
      <c r="C19" s="22" t="inlineStr">
        <is>
          <t>Type pattern → Select column → Ctrl+E</t>
        </is>
      </c>
    </row>
    <row r="20">
      <c r="A20" s="21" t="inlineStr">
        <is>
          <t>Power Query</t>
        </is>
      </c>
      <c r="B20" s="6" t="inlineStr">
        <is>
          <t>Data → Get &amp; Transform → Automate steps</t>
        </is>
      </c>
      <c r="C20" s="22" t="inlineStr">
        <is>
          <t>Record once, Refresh All forever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2026-04-30T22:33:04Z</dcterms:created>
  <dcterms:modified xmlns:dcterms="http://purl.org/dc/terms/" xmlns:xsi="http://www.w3.org/2001/XMLSchema-instance" xsi:type="dcterms:W3CDTF">2026-04-30T22:33:04Z</dcterms:modified>
</cp:coreProperties>
</file>