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FFFFFF"/>
    </font>
    <font>
      <name val="Inter"/>
      <b val="1"/>
      <color rgb="0027272A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0">
      <c r="B10" s="1" t="inlineStr">
        <is>
          <t>Day 2: XLOOKUP &amp; Lookup Architecture</t>
        </is>
      </c>
    </row>
    <row r="12">
      <c r="B12" s="2" t="inlineStr">
        <is>
          <t>Master the art of dynamic data retrieval. Stop using legacy VLOOKUP and build resilient search engines.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SKU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Price</t>
        </is>
      </c>
      <c r="E1" s="3" t="inlineStr">
        <is>
          <t>Stock</t>
        </is>
      </c>
    </row>
    <row r="2">
      <c r="A2" t="inlineStr">
        <is>
          <t>SKU-1001</t>
        </is>
      </c>
      <c r="B2" t="inlineStr">
        <is>
          <t>Lamp v1</t>
        </is>
      </c>
      <c r="C2" t="inlineStr">
        <is>
          <t>Electronics</t>
        </is>
      </c>
      <c r="D2" t="n">
        <v>1743</v>
      </c>
      <c r="E2" t="n">
        <v>194</v>
      </c>
    </row>
    <row r="3">
      <c r="A3" t="inlineStr">
        <is>
          <t>SKU-1002</t>
        </is>
      </c>
      <c r="B3" t="inlineStr">
        <is>
          <t>Laptop v2</t>
        </is>
      </c>
      <c r="C3" t="inlineStr">
        <is>
          <t>Electronics</t>
        </is>
      </c>
      <c r="D3" t="n">
        <v>1413</v>
      </c>
      <c r="E3" t="n">
        <v>360</v>
      </c>
    </row>
    <row r="4">
      <c r="A4" t="inlineStr">
        <is>
          <t>SKU-1003</t>
        </is>
      </c>
      <c r="B4" t="inlineStr">
        <is>
          <t>SSD v3</t>
        </is>
      </c>
      <c r="C4" t="inlineStr">
        <is>
          <t>Electronics</t>
        </is>
      </c>
      <c r="D4" t="n">
        <v>1420</v>
      </c>
      <c r="E4" t="n">
        <v>123</v>
      </c>
    </row>
    <row r="5">
      <c r="A5" t="inlineStr">
        <is>
          <t>SKU-1004</t>
        </is>
      </c>
      <c r="B5" t="inlineStr">
        <is>
          <t>Monitor v4</t>
        </is>
      </c>
      <c r="C5" t="inlineStr">
        <is>
          <t>Electronics</t>
        </is>
      </c>
      <c r="D5" t="n">
        <v>938</v>
      </c>
      <c r="E5" t="n">
        <v>95</v>
      </c>
    </row>
    <row r="6">
      <c r="A6" t="inlineStr">
        <is>
          <t>SKU-1005</t>
        </is>
      </c>
      <c r="B6" t="inlineStr">
        <is>
          <t>Webcam v5</t>
        </is>
      </c>
      <c r="C6" t="inlineStr">
        <is>
          <t>Electronics</t>
        </is>
      </c>
      <c r="D6" t="n">
        <v>1977</v>
      </c>
      <c r="E6" t="n">
        <v>350</v>
      </c>
    </row>
    <row r="7">
      <c r="A7" t="inlineStr">
        <is>
          <t>SKU-1006</t>
        </is>
      </c>
      <c r="B7" t="inlineStr">
        <is>
          <t>Keyboard v6</t>
        </is>
      </c>
      <c r="C7" t="inlineStr">
        <is>
          <t>Electronics</t>
        </is>
      </c>
      <c r="D7" t="n">
        <v>1420</v>
      </c>
      <c r="E7" t="n">
        <v>442</v>
      </c>
    </row>
    <row r="8">
      <c r="A8" t="inlineStr">
        <is>
          <t>SKU-1007</t>
        </is>
      </c>
      <c r="B8" t="inlineStr">
        <is>
          <t>Desk v7</t>
        </is>
      </c>
      <c r="C8" t="inlineStr">
        <is>
          <t>Electronics</t>
        </is>
      </c>
      <c r="D8" t="n">
        <v>704</v>
      </c>
      <c r="E8" t="n">
        <v>281</v>
      </c>
    </row>
    <row r="9">
      <c r="A9" t="inlineStr">
        <is>
          <t>SKU-1008</t>
        </is>
      </c>
      <c r="B9" t="inlineStr">
        <is>
          <t>Laptop v8</t>
        </is>
      </c>
      <c r="C9" t="inlineStr">
        <is>
          <t>Electronics</t>
        </is>
      </c>
      <c r="D9" t="n">
        <v>137</v>
      </c>
      <c r="E9" t="n">
        <v>9</v>
      </c>
    </row>
    <row r="10">
      <c r="A10" t="inlineStr">
        <is>
          <t>SKU-1009</t>
        </is>
      </c>
      <c r="B10" t="inlineStr">
        <is>
          <t>Keyboard v9</t>
        </is>
      </c>
      <c r="C10" t="inlineStr">
        <is>
          <t>Electronics</t>
        </is>
      </c>
      <c r="D10" t="n">
        <v>1776</v>
      </c>
      <c r="E10" t="n">
        <v>130</v>
      </c>
    </row>
    <row r="11">
      <c r="A11" t="inlineStr">
        <is>
          <t>SKU-1010</t>
        </is>
      </c>
      <c r="B11" t="inlineStr">
        <is>
          <t>Desk v10</t>
        </is>
      </c>
      <c r="C11" t="inlineStr">
        <is>
          <t>Electronics</t>
        </is>
      </c>
      <c r="D11" t="n">
        <v>765</v>
      </c>
      <c r="E11" t="n">
        <v>16</v>
      </c>
    </row>
    <row r="12">
      <c r="A12" t="inlineStr">
        <is>
          <t>SKU-1011</t>
        </is>
      </c>
      <c r="B12" t="inlineStr">
        <is>
          <t>Keyboard v11</t>
        </is>
      </c>
      <c r="C12" t="inlineStr">
        <is>
          <t>Electronics</t>
        </is>
      </c>
      <c r="D12" t="n">
        <v>1702</v>
      </c>
      <c r="E12" t="n">
        <v>369</v>
      </c>
    </row>
    <row r="13">
      <c r="A13" t="inlineStr">
        <is>
          <t>SKU-1012</t>
        </is>
      </c>
      <c r="B13" t="inlineStr">
        <is>
          <t>SSD v12</t>
        </is>
      </c>
      <c r="C13" t="inlineStr">
        <is>
          <t>Electronics</t>
        </is>
      </c>
      <c r="D13" t="n">
        <v>79</v>
      </c>
      <c r="E13" t="n">
        <v>162</v>
      </c>
    </row>
    <row r="14">
      <c r="A14" t="inlineStr">
        <is>
          <t>SKU-1013</t>
        </is>
      </c>
      <c r="B14" t="inlineStr">
        <is>
          <t>Lamp v13</t>
        </is>
      </c>
      <c r="C14" t="inlineStr">
        <is>
          <t>Electronics</t>
        </is>
      </c>
      <c r="D14" t="n">
        <v>1124</v>
      </c>
      <c r="E14" t="n">
        <v>382</v>
      </c>
    </row>
    <row r="15">
      <c r="A15" t="inlineStr">
        <is>
          <t>SKU-1014</t>
        </is>
      </c>
      <c r="B15" t="inlineStr">
        <is>
          <t>Keyboard v14</t>
        </is>
      </c>
      <c r="C15" t="inlineStr">
        <is>
          <t>Electronics</t>
        </is>
      </c>
      <c r="D15" t="n">
        <v>1625</v>
      </c>
      <c r="E15" t="n">
        <v>367</v>
      </c>
    </row>
    <row r="16">
      <c r="A16" t="inlineStr">
        <is>
          <t>SKU-1015</t>
        </is>
      </c>
      <c r="B16" t="inlineStr">
        <is>
          <t>Chair v15</t>
        </is>
      </c>
      <c r="C16" t="inlineStr">
        <is>
          <t>Electronics</t>
        </is>
      </c>
      <c r="D16" t="n">
        <v>1357</v>
      </c>
      <c r="E16" t="n">
        <v>357</v>
      </c>
    </row>
    <row r="17">
      <c r="A17" t="inlineStr">
        <is>
          <t>SKU-1016</t>
        </is>
      </c>
      <c r="B17" t="inlineStr">
        <is>
          <t>Headset v16</t>
        </is>
      </c>
      <c r="C17" t="inlineStr">
        <is>
          <t>Electronics</t>
        </is>
      </c>
      <c r="D17" t="n">
        <v>419</v>
      </c>
      <c r="E17" t="n">
        <v>296</v>
      </c>
    </row>
    <row r="18">
      <c r="A18" t="inlineStr">
        <is>
          <t>SKU-1017</t>
        </is>
      </c>
      <c r="B18" t="inlineStr">
        <is>
          <t>Chair v17</t>
        </is>
      </c>
      <c r="C18" t="inlineStr">
        <is>
          <t>Electronics</t>
        </is>
      </c>
      <c r="D18" t="n">
        <v>1203</v>
      </c>
      <c r="E18" t="n">
        <v>38</v>
      </c>
    </row>
    <row r="19">
      <c r="A19" t="inlineStr">
        <is>
          <t>SKU-1018</t>
        </is>
      </c>
      <c r="B19" t="inlineStr">
        <is>
          <t>Headset v18</t>
        </is>
      </c>
      <c r="C19" t="inlineStr">
        <is>
          <t>Electronics</t>
        </is>
      </c>
      <c r="D19" t="n">
        <v>1122</v>
      </c>
      <c r="E19" t="n">
        <v>23</v>
      </c>
    </row>
    <row r="20">
      <c r="A20" t="inlineStr">
        <is>
          <t>SKU-1019</t>
        </is>
      </c>
      <c r="B20" t="inlineStr">
        <is>
          <t>SSD v19</t>
        </is>
      </c>
      <c r="C20" t="inlineStr">
        <is>
          <t>Electronics</t>
        </is>
      </c>
      <c r="D20" t="n">
        <v>1321</v>
      </c>
      <c r="E20" t="n">
        <v>178</v>
      </c>
    </row>
    <row r="21">
      <c r="A21" t="inlineStr">
        <is>
          <t>SKU-1020</t>
        </is>
      </c>
      <c r="B21" t="inlineStr">
        <is>
          <t>Webcam v20</t>
        </is>
      </c>
      <c r="C21" t="inlineStr">
        <is>
          <t>Electronics</t>
        </is>
      </c>
      <c r="D21" t="n">
        <v>199</v>
      </c>
      <c r="E21" t="n">
        <v>317</v>
      </c>
    </row>
    <row r="22">
      <c r="A22" t="inlineStr">
        <is>
          <t>SKU-1021</t>
        </is>
      </c>
      <c r="B22" t="inlineStr">
        <is>
          <t>Chair v21</t>
        </is>
      </c>
      <c r="C22" t="inlineStr">
        <is>
          <t>Electronics</t>
        </is>
      </c>
      <c r="D22" t="n">
        <v>1599</v>
      </c>
      <c r="E22" t="n">
        <v>179</v>
      </c>
    </row>
    <row r="23">
      <c r="A23" t="inlineStr">
        <is>
          <t>SKU-1022</t>
        </is>
      </c>
      <c r="B23" t="inlineStr">
        <is>
          <t>Desk v22</t>
        </is>
      </c>
      <c r="C23" t="inlineStr">
        <is>
          <t>Electronics</t>
        </is>
      </c>
      <c r="D23" t="n">
        <v>415</v>
      </c>
      <c r="E23" t="n">
        <v>180</v>
      </c>
    </row>
    <row r="24">
      <c r="A24" t="inlineStr">
        <is>
          <t>SKU-1023</t>
        </is>
      </c>
      <c r="B24" t="inlineStr">
        <is>
          <t>Webcam v23</t>
        </is>
      </c>
      <c r="C24" t="inlineStr">
        <is>
          <t>Electronics</t>
        </is>
      </c>
      <c r="D24" t="n">
        <v>956</v>
      </c>
      <c r="E24" t="n">
        <v>210</v>
      </c>
    </row>
    <row r="25">
      <c r="A25" t="inlineStr">
        <is>
          <t>SKU-1024</t>
        </is>
      </c>
      <c r="B25" t="inlineStr">
        <is>
          <t>Laptop v24</t>
        </is>
      </c>
      <c r="C25" t="inlineStr">
        <is>
          <t>Electronics</t>
        </is>
      </c>
      <c r="D25" t="n">
        <v>855</v>
      </c>
      <c r="E25" t="n">
        <v>492</v>
      </c>
    </row>
    <row r="26">
      <c r="A26" t="inlineStr">
        <is>
          <t>SKU-1025</t>
        </is>
      </c>
      <c r="B26" t="inlineStr">
        <is>
          <t>Monitor v25</t>
        </is>
      </c>
      <c r="C26" t="inlineStr">
        <is>
          <t>Electronics</t>
        </is>
      </c>
      <c r="D26" t="n">
        <v>1656</v>
      </c>
      <c r="E26" t="n">
        <v>275</v>
      </c>
    </row>
    <row r="27">
      <c r="A27" t="inlineStr">
        <is>
          <t>SKU-1026</t>
        </is>
      </c>
      <c r="B27" t="inlineStr">
        <is>
          <t>Mouse v26</t>
        </is>
      </c>
      <c r="C27" t="inlineStr">
        <is>
          <t>Electronics</t>
        </is>
      </c>
      <c r="D27" t="n">
        <v>365</v>
      </c>
      <c r="E27" t="n">
        <v>15</v>
      </c>
    </row>
    <row r="28">
      <c r="A28" t="inlineStr">
        <is>
          <t>SKU-1027</t>
        </is>
      </c>
      <c r="B28" t="inlineStr">
        <is>
          <t>Lamp v27</t>
        </is>
      </c>
      <c r="C28" t="inlineStr">
        <is>
          <t>Electronics</t>
        </is>
      </c>
      <c r="D28" t="n">
        <v>960</v>
      </c>
      <c r="E28" t="n">
        <v>126</v>
      </c>
    </row>
    <row r="29">
      <c r="A29" t="inlineStr">
        <is>
          <t>SKU-1028</t>
        </is>
      </c>
      <c r="B29" t="inlineStr">
        <is>
          <t>Laptop v28</t>
        </is>
      </c>
      <c r="C29" t="inlineStr">
        <is>
          <t>Electronics</t>
        </is>
      </c>
      <c r="D29" t="n">
        <v>1091</v>
      </c>
      <c r="E29" t="n">
        <v>251</v>
      </c>
    </row>
    <row r="30">
      <c r="A30" t="inlineStr">
        <is>
          <t>SKU-1029</t>
        </is>
      </c>
      <c r="B30" t="inlineStr">
        <is>
          <t>Mouse v29</t>
        </is>
      </c>
      <c r="C30" t="inlineStr">
        <is>
          <t>Electronics</t>
        </is>
      </c>
      <c r="D30" t="n">
        <v>580</v>
      </c>
      <c r="E30" t="n">
        <v>246</v>
      </c>
    </row>
    <row r="31">
      <c r="A31" t="inlineStr">
        <is>
          <t>SKU-1030</t>
        </is>
      </c>
      <c r="B31" t="inlineStr">
        <is>
          <t>Chair v30</t>
        </is>
      </c>
      <c r="C31" t="inlineStr">
        <is>
          <t>Electronics</t>
        </is>
      </c>
      <c r="D31" t="n">
        <v>97</v>
      </c>
      <c r="E31" t="n">
        <v>84</v>
      </c>
    </row>
    <row r="32">
      <c r="A32" t="inlineStr">
        <is>
          <t>SKU-1031</t>
        </is>
      </c>
      <c r="B32" t="inlineStr">
        <is>
          <t>Mouse v31</t>
        </is>
      </c>
      <c r="C32" t="inlineStr">
        <is>
          <t>Electronics</t>
        </is>
      </c>
      <c r="D32" t="n">
        <v>1255</v>
      </c>
      <c r="E32" t="n">
        <v>103</v>
      </c>
    </row>
    <row r="33">
      <c r="A33" t="inlineStr">
        <is>
          <t>SKU-1032</t>
        </is>
      </c>
      <c r="B33" t="inlineStr">
        <is>
          <t>Monitor v32</t>
        </is>
      </c>
      <c r="C33" t="inlineStr">
        <is>
          <t>Electronics</t>
        </is>
      </c>
      <c r="D33" t="n">
        <v>265</v>
      </c>
      <c r="E33" t="n">
        <v>226</v>
      </c>
    </row>
    <row r="34">
      <c r="A34" t="inlineStr">
        <is>
          <t>SKU-1033</t>
        </is>
      </c>
      <c r="B34" t="inlineStr">
        <is>
          <t>Keyboard v33</t>
        </is>
      </c>
      <c r="C34" t="inlineStr">
        <is>
          <t>Electronics</t>
        </is>
      </c>
      <c r="D34" t="n">
        <v>1835</v>
      </c>
      <c r="E34" t="n">
        <v>218</v>
      </c>
    </row>
    <row r="35">
      <c r="A35" t="inlineStr">
        <is>
          <t>SKU-1034</t>
        </is>
      </c>
      <c r="B35" t="inlineStr">
        <is>
          <t>SSD v34</t>
        </is>
      </c>
      <c r="C35" t="inlineStr">
        <is>
          <t>Electronics</t>
        </is>
      </c>
      <c r="D35" t="n">
        <v>362</v>
      </c>
      <c r="E35" t="n">
        <v>91</v>
      </c>
    </row>
    <row r="36">
      <c r="A36" t="inlineStr">
        <is>
          <t>SKU-1035</t>
        </is>
      </c>
      <c r="B36" t="inlineStr">
        <is>
          <t>Lamp v35</t>
        </is>
      </c>
      <c r="C36" t="inlineStr">
        <is>
          <t>Electronics</t>
        </is>
      </c>
      <c r="D36" t="n">
        <v>317</v>
      </c>
      <c r="E36" t="n">
        <v>103</v>
      </c>
    </row>
    <row r="37">
      <c r="A37" t="inlineStr">
        <is>
          <t>SKU-1036</t>
        </is>
      </c>
      <c r="B37" t="inlineStr">
        <is>
          <t>Webcam v36</t>
        </is>
      </c>
      <c r="C37" t="inlineStr">
        <is>
          <t>Electronics</t>
        </is>
      </c>
      <c r="D37" t="n">
        <v>278</v>
      </c>
      <c r="E37" t="n">
        <v>299</v>
      </c>
    </row>
    <row r="38">
      <c r="A38" t="inlineStr">
        <is>
          <t>SKU-1037</t>
        </is>
      </c>
      <c r="B38" t="inlineStr">
        <is>
          <t>Monitor v37</t>
        </is>
      </c>
      <c r="C38" t="inlineStr">
        <is>
          <t>Electronics</t>
        </is>
      </c>
      <c r="D38" t="n">
        <v>937</v>
      </c>
      <c r="E38" t="n">
        <v>426</v>
      </c>
    </row>
    <row r="39">
      <c r="A39" t="inlineStr">
        <is>
          <t>SKU-1038</t>
        </is>
      </c>
      <c r="B39" t="inlineStr">
        <is>
          <t>Desk v38</t>
        </is>
      </c>
      <c r="C39" t="inlineStr">
        <is>
          <t>Electronics</t>
        </is>
      </c>
      <c r="D39" t="n">
        <v>1984</v>
      </c>
      <c r="E39" t="n">
        <v>268</v>
      </c>
    </row>
    <row r="40">
      <c r="A40" t="inlineStr">
        <is>
          <t>SKU-1039</t>
        </is>
      </c>
      <c r="B40" t="inlineStr">
        <is>
          <t>Lamp v39</t>
        </is>
      </c>
      <c r="C40" t="inlineStr">
        <is>
          <t>Electronics</t>
        </is>
      </c>
      <c r="D40" t="n">
        <v>1339</v>
      </c>
      <c r="E40" t="n">
        <v>442</v>
      </c>
    </row>
    <row r="41">
      <c r="A41" t="inlineStr">
        <is>
          <t>SKU-1040</t>
        </is>
      </c>
      <c r="B41" t="inlineStr">
        <is>
          <t>Chair v40</t>
        </is>
      </c>
      <c r="C41" t="inlineStr">
        <is>
          <t>Electronics</t>
        </is>
      </c>
      <c r="D41" t="n">
        <v>355</v>
      </c>
      <c r="E41" t="n">
        <v>129</v>
      </c>
    </row>
    <row r="42">
      <c r="A42" t="inlineStr">
        <is>
          <t>SKU-1041</t>
        </is>
      </c>
      <c r="B42" t="inlineStr">
        <is>
          <t>Laptop v41</t>
        </is>
      </c>
      <c r="C42" t="inlineStr">
        <is>
          <t>Electronics</t>
        </is>
      </c>
      <c r="D42" t="n">
        <v>991</v>
      </c>
      <c r="E42" t="n">
        <v>1</v>
      </c>
    </row>
    <row r="43">
      <c r="A43" t="inlineStr">
        <is>
          <t>SKU-1042</t>
        </is>
      </c>
      <c r="B43" t="inlineStr">
        <is>
          <t>Keyboard v42</t>
        </is>
      </c>
      <c r="C43" t="inlineStr">
        <is>
          <t>Electronics</t>
        </is>
      </c>
      <c r="D43" t="n">
        <v>702</v>
      </c>
      <c r="E43" t="n">
        <v>496</v>
      </c>
    </row>
    <row r="44">
      <c r="A44" t="inlineStr">
        <is>
          <t>SKU-1043</t>
        </is>
      </c>
      <c r="B44" t="inlineStr">
        <is>
          <t>Lamp v43</t>
        </is>
      </c>
      <c r="C44" t="inlineStr">
        <is>
          <t>Electronics</t>
        </is>
      </c>
      <c r="D44" t="n">
        <v>64</v>
      </c>
      <c r="E44" t="n">
        <v>430</v>
      </c>
    </row>
    <row r="45">
      <c r="A45" t="inlineStr">
        <is>
          <t>SKU-1044</t>
        </is>
      </c>
      <c r="B45" t="inlineStr">
        <is>
          <t>Webcam v44</t>
        </is>
      </c>
      <c r="C45" t="inlineStr">
        <is>
          <t>Electronics</t>
        </is>
      </c>
      <c r="D45" t="n">
        <v>504</v>
      </c>
      <c r="E45" t="n">
        <v>360</v>
      </c>
    </row>
    <row r="46">
      <c r="A46" t="inlineStr">
        <is>
          <t>SKU-1045</t>
        </is>
      </c>
      <c r="B46" t="inlineStr">
        <is>
          <t>Headset v45</t>
        </is>
      </c>
      <c r="C46" t="inlineStr">
        <is>
          <t>Electronics</t>
        </is>
      </c>
      <c r="D46" t="n">
        <v>220</v>
      </c>
      <c r="E46" t="n">
        <v>274</v>
      </c>
    </row>
    <row r="47">
      <c r="A47" t="inlineStr">
        <is>
          <t>SKU-1046</t>
        </is>
      </c>
      <c r="B47" t="inlineStr">
        <is>
          <t>Webcam v46</t>
        </is>
      </c>
      <c r="C47" t="inlineStr">
        <is>
          <t>Electronics</t>
        </is>
      </c>
      <c r="D47" t="n">
        <v>307</v>
      </c>
      <c r="E47" t="n">
        <v>191</v>
      </c>
    </row>
    <row r="48">
      <c r="A48" t="inlineStr">
        <is>
          <t>SKU-1047</t>
        </is>
      </c>
      <c r="B48" t="inlineStr">
        <is>
          <t>Headset v47</t>
        </is>
      </c>
      <c r="C48" t="inlineStr">
        <is>
          <t>Electronics</t>
        </is>
      </c>
      <c r="D48" t="n">
        <v>1274</v>
      </c>
      <c r="E48" t="n">
        <v>223</v>
      </c>
    </row>
    <row r="49">
      <c r="A49" t="inlineStr">
        <is>
          <t>SKU-1048</t>
        </is>
      </c>
      <c r="B49" t="inlineStr">
        <is>
          <t>Keyboard v48</t>
        </is>
      </c>
      <c r="C49" t="inlineStr">
        <is>
          <t>Electronics</t>
        </is>
      </c>
      <c r="D49" t="n">
        <v>1421</v>
      </c>
      <c r="E49" t="n">
        <v>180</v>
      </c>
    </row>
    <row r="50">
      <c r="A50" t="inlineStr">
        <is>
          <t>SKU-1049</t>
        </is>
      </c>
      <c r="B50" t="inlineStr">
        <is>
          <t>Keyboard v49</t>
        </is>
      </c>
      <c r="C50" t="inlineStr">
        <is>
          <t>Electronics</t>
        </is>
      </c>
      <c r="D50" t="n">
        <v>1704</v>
      </c>
      <c r="E50" t="n">
        <v>149</v>
      </c>
    </row>
    <row r="51">
      <c r="A51" t="inlineStr">
        <is>
          <t>SKU-1050</t>
        </is>
      </c>
      <c r="B51" t="inlineStr">
        <is>
          <t>Webcam v50</t>
        </is>
      </c>
      <c r="C51" t="inlineStr">
        <is>
          <t>Electronics</t>
        </is>
      </c>
      <c r="D51" t="n">
        <v>614</v>
      </c>
      <c r="E51" t="n">
        <v>445</v>
      </c>
    </row>
    <row r="52">
      <c r="A52" t="inlineStr">
        <is>
          <t>SKU-1051</t>
        </is>
      </c>
      <c r="B52" t="inlineStr">
        <is>
          <t>Monitor v51</t>
        </is>
      </c>
      <c r="C52" t="inlineStr">
        <is>
          <t>Electronics</t>
        </is>
      </c>
      <c r="D52" t="n">
        <v>111</v>
      </c>
      <c r="E52" t="n">
        <v>72</v>
      </c>
    </row>
    <row r="53">
      <c r="A53" t="inlineStr">
        <is>
          <t>SKU-1052</t>
        </is>
      </c>
      <c r="B53" t="inlineStr">
        <is>
          <t>SSD v52</t>
        </is>
      </c>
      <c r="C53" t="inlineStr">
        <is>
          <t>Electronics</t>
        </is>
      </c>
      <c r="D53" t="n">
        <v>1138</v>
      </c>
      <c r="E53" t="n">
        <v>69</v>
      </c>
    </row>
    <row r="54">
      <c r="A54" t="inlineStr">
        <is>
          <t>SKU-1053</t>
        </is>
      </c>
      <c r="B54" t="inlineStr">
        <is>
          <t>SSD v53</t>
        </is>
      </c>
      <c r="C54" t="inlineStr">
        <is>
          <t>Electronics</t>
        </is>
      </c>
      <c r="D54" t="n">
        <v>600</v>
      </c>
      <c r="E54" t="n">
        <v>305</v>
      </c>
    </row>
    <row r="55">
      <c r="A55" t="inlineStr">
        <is>
          <t>SKU-1054</t>
        </is>
      </c>
      <c r="B55" t="inlineStr">
        <is>
          <t>Chair v54</t>
        </is>
      </c>
      <c r="C55" t="inlineStr">
        <is>
          <t>Electronics</t>
        </is>
      </c>
      <c r="D55" t="n">
        <v>1385</v>
      </c>
      <c r="E55" t="n">
        <v>335</v>
      </c>
    </row>
    <row r="56">
      <c r="A56" t="inlineStr">
        <is>
          <t>SKU-1055</t>
        </is>
      </c>
      <c r="B56" t="inlineStr">
        <is>
          <t>Webcam v55</t>
        </is>
      </c>
      <c r="C56" t="inlineStr">
        <is>
          <t>Electronics</t>
        </is>
      </c>
      <c r="D56" t="n">
        <v>963</v>
      </c>
      <c r="E56" t="n">
        <v>423</v>
      </c>
    </row>
    <row r="57">
      <c r="A57" t="inlineStr">
        <is>
          <t>SKU-1056</t>
        </is>
      </c>
      <c r="B57" t="inlineStr">
        <is>
          <t>Headset v56</t>
        </is>
      </c>
      <c r="C57" t="inlineStr">
        <is>
          <t>Electronics</t>
        </is>
      </c>
      <c r="D57" t="n">
        <v>1125</v>
      </c>
      <c r="E57" t="n">
        <v>177</v>
      </c>
    </row>
    <row r="58">
      <c r="A58" t="inlineStr">
        <is>
          <t>SKU-1057</t>
        </is>
      </c>
      <c r="B58" t="inlineStr">
        <is>
          <t>Mouse v57</t>
        </is>
      </c>
      <c r="C58" t="inlineStr">
        <is>
          <t>Electronics</t>
        </is>
      </c>
      <c r="D58" t="n">
        <v>1172</v>
      </c>
      <c r="E58" t="n">
        <v>323</v>
      </c>
    </row>
    <row r="59">
      <c r="A59" t="inlineStr">
        <is>
          <t>SKU-1058</t>
        </is>
      </c>
      <c r="B59" t="inlineStr">
        <is>
          <t>Chair v58</t>
        </is>
      </c>
      <c r="C59" t="inlineStr">
        <is>
          <t>Electronics</t>
        </is>
      </c>
      <c r="D59" t="n">
        <v>757</v>
      </c>
      <c r="E59" t="n">
        <v>144</v>
      </c>
    </row>
    <row r="60">
      <c r="A60" t="inlineStr">
        <is>
          <t>SKU-1059</t>
        </is>
      </c>
      <c r="B60" t="inlineStr">
        <is>
          <t>Desk v59</t>
        </is>
      </c>
      <c r="C60" t="inlineStr">
        <is>
          <t>Electronics</t>
        </is>
      </c>
      <c r="D60" t="n">
        <v>1884</v>
      </c>
      <c r="E60" t="n">
        <v>316</v>
      </c>
    </row>
    <row r="61">
      <c r="A61" t="inlineStr">
        <is>
          <t>SKU-1060</t>
        </is>
      </c>
      <c r="B61" t="inlineStr">
        <is>
          <t>SSD v60</t>
        </is>
      </c>
      <c r="C61" t="inlineStr">
        <is>
          <t>Electronics</t>
        </is>
      </c>
      <c r="D61" t="n">
        <v>1585</v>
      </c>
      <c r="E61" t="n">
        <v>206</v>
      </c>
    </row>
    <row r="62">
      <c r="A62" t="inlineStr">
        <is>
          <t>SKU-1061</t>
        </is>
      </c>
      <c r="B62" t="inlineStr">
        <is>
          <t>SSD v61</t>
        </is>
      </c>
      <c r="C62" t="inlineStr">
        <is>
          <t>Electronics</t>
        </is>
      </c>
      <c r="D62" t="n">
        <v>199</v>
      </c>
      <c r="E62" t="n">
        <v>313</v>
      </c>
    </row>
    <row r="63">
      <c r="A63" t="inlineStr">
        <is>
          <t>SKU-1062</t>
        </is>
      </c>
      <c r="B63" t="inlineStr">
        <is>
          <t>Lamp v62</t>
        </is>
      </c>
      <c r="C63" t="inlineStr">
        <is>
          <t>Electronics</t>
        </is>
      </c>
      <c r="D63" t="n">
        <v>160</v>
      </c>
      <c r="E63" t="n">
        <v>23</v>
      </c>
    </row>
    <row r="64">
      <c r="A64" t="inlineStr">
        <is>
          <t>SKU-1063</t>
        </is>
      </c>
      <c r="B64" t="inlineStr">
        <is>
          <t>Lamp v63</t>
        </is>
      </c>
      <c r="C64" t="inlineStr">
        <is>
          <t>Electronics</t>
        </is>
      </c>
      <c r="D64" t="n">
        <v>1874</v>
      </c>
      <c r="E64" t="n">
        <v>279</v>
      </c>
    </row>
    <row r="65">
      <c r="A65" t="inlineStr">
        <is>
          <t>SKU-1064</t>
        </is>
      </c>
      <c r="B65" t="inlineStr">
        <is>
          <t>Lamp v64</t>
        </is>
      </c>
      <c r="C65" t="inlineStr">
        <is>
          <t>Electronics</t>
        </is>
      </c>
      <c r="D65" t="n">
        <v>283</v>
      </c>
      <c r="E65" t="n">
        <v>460</v>
      </c>
    </row>
    <row r="66">
      <c r="A66" t="inlineStr">
        <is>
          <t>SKU-1065</t>
        </is>
      </c>
      <c r="B66" t="inlineStr">
        <is>
          <t>SSD v65</t>
        </is>
      </c>
      <c r="C66" t="inlineStr">
        <is>
          <t>Electronics</t>
        </is>
      </c>
      <c r="D66" t="n">
        <v>1450</v>
      </c>
      <c r="E66" t="n">
        <v>311</v>
      </c>
    </row>
    <row r="67">
      <c r="A67" t="inlineStr">
        <is>
          <t>SKU-1066</t>
        </is>
      </c>
      <c r="B67" t="inlineStr">
        <is>
          <t>Lamp v66</t>
        </is>
      </c>
      <c r="C67" t="inlineStr">
        <is>
          <t>Electronics</t>
        </is>
      </c>
      <c r="D67" t="n">
        <v>303</v>
      </c>
      <c r="E67" t="n">
        <v>496</v>
      </c>
    </row>
    <row r="68">
      <c r="A68" t="inlineStr">
        <is>
          <t>SKU-1067</t>
        </is>
      </c>
      <c r="B68" t="inlineStr">
        <is>
          <t>Headset v67</t>
        </is>
      </c>
      <c r="C68" t="inlineStr">
        <is>
          <t>Electronics</t>
        </is>
      </c>
      <c r="D68" t="n">
        <v>493</v>
      </c>
      <c r="E68" t="n">
        <v>443</v>
      </c>
    </row>
    <row r="69">
      <c r="A69" t="inlineStr">
        <is>
          <t>SKU-1068</t>
        </is>
      </c>
      <c r="B69" t="inlineStr">
        <is>
          <t>Desk v68</t>
        </is>
      </c>
      <c r="C69" t="inlineStr">
        <is>
          <t>Electronics</t>
        </is>
      </c>
      <c r="D69" t="n">
        <v>570</v>
      </c>
      <c r="E69" t="n">
        <v>256</v>
      </c>
    </row>
    <row r="70">
      <c r="A70" t="inlineStr">
        <is>
          <t>SKU-1069</t>
        </is>
      </c>
      <c r="B70" t="inlineStr">
        <is>
          <t>Desk v69</t>
        </is>
      </c>
      <c r="C70" t="inlineStr">
        <is>
          <t>Electronics</t>
        </is>
      </c>
      <c r="D70" t="n">
        <v>911</v>
      </c>
      <c r="E70" t="n">
        <v>191</v>
      </c>
    </row>
    <row r="71">
      <c r="A71" t="inlineStr">
        <is>
          <t>SKU-1070</t>
        </is>
      </c>
      <c r="B71" t="inlineStr">
        <is>
          <t>Laptop v70</t>
        </is>
      </c>
      <c r="C71" t="inlineStr">
        <is>
          <t>Electronics</t>
        </is>
      </c>
      <c r="D71" t="n">
        <v>950</v>
      </c>
      <c r="E71" t="n">
        <v>476</v>
      </c>
    </row>
    <row r="72">
      <c r="A72" t="inlineStr">
        <is>
          <t>SKU-1071</t>
        </is>
      </c>
      <c r="B72" t="inlineStr">
        <is>
          <t>Webcam v71</t>
        </is>
      </c>
      <c r="C72" t="inlineStr">
        <is>
          <t>Electronics</t>
        </is>
      </c>
      <c r="D72" t="n">
        <v>1761</v>
      </c>
      <c r="E72" t="n">
        <v>408</v>
      </c>
    </row>
    <row r="73">
      <c r="A73" t="inlineStr">
        <is>
          <t>SKU-1072</t>
        </is>
      </c>
      <c r="B73" t="inlineStr">
        <is>
          <t>SSD v72</t>
        </is>
      </c>
      <c r="C73" t="inlineStr">
        <is>
          <t>Electronics</t>
        </is>
      </c>
      <c r="D73" t="n">
        <v>1352</v>
      </c>
      <c r="E73" t="n">
        <v>24</v>
      </c>
    </row>
    <row r="74">
      <c r="A74" t="inlineStr">
        <is>
          <t>SKU-1073</t>
        </is>
      </c>
      <c r="B74" t="inlineStr">
        <is>
          <t>Keyboard v73</t>
        </is>
      </c>
      <c r="C74" t="inlineStr">
        <is>
          <t>Electronics</t>
        </is>
      </c>
      <c r="D74" t="n">
        <v>1377</v>
      </c>
      <c r="E74" t="n">
        <v>107</v>
      </c>
    </row>
    <row r="75">
      <c r="A75" t="inlineStr">
        <is>
          <t>SKU-1074</t>
        </is>
      </c>
      <c r="B75" t="inlineStr">
        <is>
          <t>Chair v74</t>
        </is>
      </c>
      <c r="C75" t="inlineStr">
        <is>
          <t>Electronics</t>
        </is>
      </c>
      <c r="D75" t="n">
        <v>984</v>
      </c>
      <c r="E75" t="n">
        <v>172</v>
      </c>
    </row>
    <row r="76">
      <c r="A76" t="inlineStr">
        <is>
          <t>SKU-1075</t>
        </is>
      </c>
      <c r="B76" t="inlineStr">
        <is>
          <t>Keyboard v75</t>
        </is>
      </c>
      <c r="C76" t="inlineStr">
        <is>
          <t>Electronics</t>
        </is>
      </c>
      <c r="D76" t="n">
        <v>1084</v>
      </c>
      <c r="E76" t="n">
        <v>385</v>
      </c>
    </row>
    <row r="77">
      <c r="A77" t="inlineStr">
        <is>
          <t>SKU-1076</t>
        </is>
      </c>
      <c r="B77" t="inlineStr">
        <is>
          <t>Webcam v76</t>
        </is>
      </c>
      <c r="C77" t="inlineStr">
        <is>
          <t>Electronics</t>
        </is>
      </c>
      <c r="D77" t="n">
        <v>1593</v>
      </c>
      <c r="E77" t="n">
        <v>338</v>
      </c>
    </row>
    <row r="78">
      <c r="A78" t="inlineStr">
        <is>
          <t>SKU-1077</t>
        </is>
      </c>
      <c r="B78" t="inlineStr">
        <is>
          <t>Desk v77</t>
        </is>
      </c>
      <c r="C78" t="inlineStr">
        <is>
          <t>Electronics</t>
        </is>
      </c>
      <c r="D78" t="n">
        <v>1143</v>
      </c>
      <c r="E78" t="n">
        <v>238</v>
      </c>
    </row>
    <row r="79">
      <c r="A79" t="inlineStr">
        <is>
          <t>SKU-1078</t>
        </is>
      </c>
      <c r="B79" t="inlineStr">
        <is>
          <t>Lamp v78</t>
        </is>
      </c>
      <c r="C79" t="inlineStr">
        <is>
          <t>Electronics</t>
        </is>
      </c>
      <c r="D79" t="n">
        <v>69</v>
      </c>
      <c r="E79" t="n">
        <v>36</v>
      </c>
    </row>
    <row r="80">
      <c r="A80" t="inlineStr">
        <is>
          <t>SKU-1079</t>
        </is>
      </c>
      <c r="B80" t="inlineStr">
        <is>
          <t>Chair v79</t>
        </is>
      </c>
      <c r="C80" t="inlineStr">
        <is>
          <t>Electronics</t>
        </is>
      </c>
      <c r="D80" t="n">
        <v>261</v>
      </c>
      <c r="E80" t="n">
        <v>78</v>
      </c>
    </row>
    <row r="81">
      <c r="A81" t="inlineStr">
        <is>
          <t>SKU-1080</t>
        </is>
      </c>
      <c r="B81" t="inlineStr">
        <is>
          <t>Laptop v80</t>
        </is>
      </c>
      <c r="C81" t="inlineStr">
        <is>
          <t>Electronics</t>
        </is>
      </c>
      <c r="D81" t="n">
        <v>1509</v>
      </c>
      <c r="E81" t="n">
        <v>330</v>
      </c>
    </row>
    <row r="82">
      <c r="A82" t="inlineStr">
        <is>
          <t>SKU-1081</t>
        </is>
      </c>
      <c r="B82" t="inlineStr">
        <is>
          <t>Mouse v81</t>
        </is>
      </c>
      <c r="C82" t="inlineStr">
        <is>
          <t>Electronics</t>
        </is>
      </c>
      <c r="D82" t="n">
        <v>751</v>
      </c>
      <c r="E82" t="n">
        <v>367</v>
      </c>
    </row>
    <row r="83">
      <c r="A83" t="inlineStr">
        <is>
          <t>SKU-1082</t>
        </is>
      </c>
      <c r="B83" t="inlineStr">
        <is>
          <t>Desk v82</t>
        </is>
      </c>
      <c r="C83" t="inlineStr">
        <is>
          <t>Electronics</t>
        </is>
      </c>
      <c r="D83" t="n">
        <v>280</v>
      </c>
      <c r="E83" t="n">
        <v>344</v>
      </c>
    </row>
    <row r="84">
      <c r="A84" t="inlineStr">
        <is>
          <t>SKU-1083</t>
        </is>
      </c>
      <c r="B84" t="inlineStr">
        <is>
          <t>Webcam v83</t>
        </is>
      </c>
      <c r="C84" t="inlineStr">
        <is>
          <t>Electronics</t>
        </is>
      </c>
      <c r="D84" t="n">
        <v>1169</v>
      </c>
      <c r="E84" t="n">
        <v>93</v>
      </c>
    </row>
    <row r="85">
      <c r="A85" t="inlineStr">
        <is>
          <t>SKU-1084</t>
        </is>
      </c>
      <c r="B85" t="inlineStr">
        <is>
          <t>Mouse v84</t>
        </is>
      </c>
      <c r="C85" t="inlineStr">
        <is>
          <t>Electronics</t>
        </is>
      </c>
      <c r="D85" t="n">
        <v>1818</v>
      </c>
      <c r="E85" t="n">
        <v>423</v>
      </c>
    </row>
    <row r="86">
      <c r="A86" t="inlineStr">
        <is>
          <t>SKU-1085</t>
        </is>
      </c>
      <c r="B86" t="inlineStr">
        <is>
          <t>Keyboard v85</t>
        </is>
      </c>
      <c r="C86" t="inlineStr">
        <is>
          <t>Electronics</t>
        </is>
      </c>
      <c r="D86" t="n">
        <v>1174</v>
      </c>
      <c r="E86" t="n">
        <v>320</v>
      </c>
    </row>
    <row r="87">
      <c r="A87" t="inlineStr">
        <is>
          <t>SKU-1086</t>
        </is>
      </c>
      <c r="B87" t="inlineStr">
        <is>
          <t>SSD v86</t>
        </is>
      </c>
      <c r="C87" t="inlineStr">
        <is>
          <t>Electronics</t>
        </is>
      </c>
      <c r="D87" t="n">
        <v>1220</v>
      </c>
      <c r="E87" t="n">
        <v>306</v>
      </c>
    </row>
    <row r="88">
      <c r="A88" t="inlineStr">
        <is>
          <t>SKU-1087</t>
        </is>
      </c>
      <c r="B88" t="inlineStr">
        <is>
          <t>Headset v87</t>
        </is>
      </c>
      <c r="C88" t="inlineStr">
        <is>
          <t>Electronics</t>
        </is>
      </c>
      <c r="D88" t="n">
        <v>454</v>
      </c>
      <c r="E88" t="n">
        <v>500</v>
      </c>
    </row>
    <row r="89">
      <c r="A89" t="inlineStr">
        <is>
          <t>SKU-1088</t>
        </is>
      </c>
      <c r="B89" t="inlineStr">
        <is>
          <t>SSD v88</t>
        </is>
      </c>
      <c r="C89" t="inlineStr">
        <is>
          <t>Electronics</t>
        </is>
      </c>
      <c r="D89" t="n">
        <v>1714</v>
      </c>
      <c r="E89" t="n">
        <v>428</v>
      </c>
    </row>
    <row r="90">
      <c r="A90" t="inlineStr">
        <is>
          <t>SKU-1089</t>
        </is>
      </c>
      <c r="B90" t="inlineStr">
        <is>
          <t>Lamp v89</t>
        </is>
      </c>
      <c r="C90" t="inlineStr">
        <is>
          <t>Electronics</t>
        </is>
      </c>
      <c r="D90" t="n">
        <v>1651</v>
      </c>
      <c r="E90" t="n">
        <v>205</v>
      </c>
    </row>
    <row r="91">
      <c r="A91" t="inlineStr">
        <is>
          <t>SKU-1090</t>
        </is>
      </c>
      <c r="B91" t="inlineStr">
        <is>
          <t>Chair v90</t>
        </is>
      </c>
      <c r="C91" t="inlineStr">
        <is>
          <t>Electronics</t>
        </is>
      </c>
      <c r="D91" t="n">
        <v>1751</v>
      </c>
      <c r="E91" t="n">
        <v>352</v>
      </c>
    </row>
    <row r="92">
      <c r="A92" t="inlineStr">
        <is>
          <t>SKU-1091</t>
        </is>
      </c>
      <c r="B92" t="inlineStr">
        <is>
          <t>Keyboard v91</t>
        </is>
      </c>
      <c r="C92" t="inlineStr">
        <is>
          <t>Electronics</t>
        </is>
      </c>
      <c r="D92" t="n">
        <v>1545</v>
      </c>
      <c r="E92" t="n">
        <v>165</v>
      </c>
    </row>
    <row r="93">
      <c r="A93" t="inlineStr">
        <is>
          <t>SKU-1092</t>
        </is>
      </c>
      <c r="B93" t="inlineStr">
        <is>
          <t>Monitor v92</t>
        </is>
      </c>
      <c r="C93" t="inlineStr">
        <is>
          <t>Electronics</t>
        </is>
      </c>
      <c r="D93" t="n">
        <v>107</v>
      </c>
      <c r="E93" t="n">
        <v>386</v>
      </c>
    </row>
    <row r="94">
      <c r="A94" t="inlineStr">
        <is>
          <t>SKU-1093</t>
        </is>
      </c>
      <c r="B94" t="inlineStr">
        <is>
          <t>Monitor v93</t>
        </is>
      </c>
      <c r="C94" t="inlineStr">
        <is>
          <t>Electronics</t>
        </is>
      </c>
      <c r="D94" t="n">
        <v>495</v>
      </c>
      <c r="E94" t="n">
        <v>289</v>
      </c>
    </row>
    <row r="95">
      <c r="A95" t="inlineStr">
        <is>
          <t>SKU-1094</t>
        </is>
      </c>
      <c r="B95" t="inlineStr">
        <is>
          <t>Headset v94</t>
        </is>
      </c>
      <c r="C95" t="inlineStr">
        <is>
          <t>Electronics</t>
        </is>
      </c>
      <c r="D95" t="n">
        <v>496</v>
      </c>
      <c r="E95" t="n">
        <v>455</v>
      </c>
    </row>
    <row r="96">
      <c r="A96" t="inlineStr">
        <is>
          <t>SKU-1095</t>
        </is>
      </c>
      <c r="B96" t="inlineStr">
        <is>
          <t>Lamp v95</t>
        </is>
      </c>
      <c r="C96" t="inlineStr">
        <is>
          <t>Electronics</t>
        </is>
      </c>
      <c r="D96" t="n">
        <v>107</v>
      </c>
      <c r="E96" t="n">
        <v>196</v>
      </c>
    </row>
    <row r="97">
      <c r="A97" t="inlineStr">
        <is>
          <t>SKU-1096</t>
        </is>
      </c>
      <c r="B97" t="inlineStr">
        <is>
          <t>Chair v96</t>
        </is>
      </c>
      <c r="C97" t="inlineStr">
        <is>
          <t>Electronics</t>
        </is>
      </c>
      <c r="D97" t="n">
        <v>274</v>
      </c>
      <c r="E97" t="n">
        <v>81</v>
      </c>
    </row>
    <row r="98">
      <c r="A98" t="inlineStr">
        <is>
          <t>SKU-1097</t>
        </is>
      </c>
      <c r="B98" t="inlineStr">
        <is>
          <t>Headset v97</t>
        </is>
      </c>
      <c r="C98" t="inlineStr">
        <is>
          <t>Electronics</t>
        </is>
      </c>
      <c r="D98" t="n">
        <v>1334</v>
      </c>
      <c r="E98" t="n">
        <v>185</v>
      </c>
    </row>
    <row r="99">
      <c r="A99" t="inlineStr">
        <is>
          <t>SKU-1098</t>
        </is>
      </c>
      <c r="B99" t="inlineStr">
        <is>
          <t>Mouse v98</t>
        </is>
      </c>
      <c r="C99" t="inlineStr">
        <is>
          <t>Electronics</t>
        </is>
      </c>
      <c r="D99" t="n">
        <v>1184</v>
      </c>
      <c r="E99" t="n">
        <v>61</v>
      </c>
    </row>
    <row r="100">
      <c r="A100" t="inlineStr">
        <is>
          <t>SKU-1099</t>
        </is>
      </c>
      <c r="B100" t="inlineStr">
        <is>
          <t>Keyboard v99</t>
        </is>
      </c>
      <c r="C100" t="inlineStr">
        <is>
          <t>Electronics</t>
        </is>
      </c>
      <c r="D100" t="n">
        <v>1047</v>
      </c>
      <c r="E100" t="n">
        <v>1</v>
      </c>
    </row>
    <row r="101">
      <c r="A101" t="inlineStr">
        <is>
          <t>SKU-1100</t>
        </is>
      </c>
      <c r="B101" t="inlineStr">
        <is>
          <t>Laptop v100</t>
        </is>
      </c>
      <c r="C101" t="inlineStr">
        <is>
          <t>Electronics</t>
        </is>
      </c>
      <c r="D101" t="n">
        <v>1566</v>
      </c>
      <c r="E101" t="n">
        <v>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Expected Formula / Result</t>
        </is>
      </c>
    </row>
    <row r="2">
      <c r="A2" t="n">
        <v>1</v>
      </c>
      <c r="B2">
        <f>XLOOKUP("SKU-1001",Master_Data!A:A,Master_Data!D:D)</f>
        <v/>
      </c>
    </row>
    <row r="3">
      <c r="A3" t="n">
        <v>2</v>
      </c>
      <c r="B3">
        <f>XLOOKUP("SKU-1005",Master_Data!A:A,Master_Data!B:B)</f>
        <v/>
      </c>
    </row>
    <row r="4">
      <c r="A4" t="n">
        <v>3</v>
      </c>
      <c r="B4">
        <f>XLOOKUP("SKU-1010",Master_Data!A:A,Master_Data!E:E)</f>
        <v/>
      </c>
    </row>
    <row r="5">
      <c r="A5" t="n">
        <v>4</v>
      </c>
      <c r="B5">
        <f>XLOOKUP("SKU-9999",Master_Data!A:A,Master_Data!B:B,"Not Found")</f>
        <v/>
      </c>
    </row>
    <row r="6">
      <c r="A6" t="n">
        <v>5</v>
      </c>
      <c r="B6">
        <f>XLOOKUP("Electronics",Master_Data!C:C,Master_Data!A:A)</f>
        <v/>
      </c>
    </row>
    <row r="7">
      <c r="A7" t="n">
        <v>6</v>
      </c>
      <c r="B7">
        <f>XLOOKUP("SKU-1006",Master_Data!A:A,Master_Data!D:D)</f>
        <v/>
      </c>
    </row>
    <row r="8">
      <c r="A8" t="n">
        <v>7</v>
      </c>
      <c r="B8">
        <f>XLOOKUP("SKU-1007",Master_Data!A:A,Master_Data!D:D)</f>
        <v/>
      </c>
    </row>
    <row r="9">
      <c r="A9" t="n">
        <v>8</v>
      </c>
      <c r="B9">
        <f>XLOOKUP("SKU-1008",Master_Data!A:A,Master_Data!D:D)</f>
        <v/>
      </c>
    </row>
    <row r="10">
      <c r="A10" t="n">
        <v>9</v>
      </c>
      <c r="B10">
        <f>XLOOKUP("SKU-1009",Master_Data!A:A,Master_Data!D:D)</f>
        <v/>
      </c>
    </row>
    <row r="11">
      <c r="A11" t="n">
        <v>10</v>
      </c>
      <c r="B11">
        <f>XLOOKUP("SKU-1010",Master_Data!A:A,Master_Data!D:D)</f>
        <v/>
      </c>
    </row>
    <row r="12">
      <c r="A12" t="n">
        <v>11</v>
      </c>
      <c r="B12">
        <f>XLOOKUP("SKU-1011",Master_Data!A:A,Master_Data!D:D)</f>
        <v/>
      </c>
    </row>
    <row r="13">
      <c r="A13" t="n">
        <v>12</v>
      </c>
      <c r="B13">
        <f>XLOOKUP("SKU-1012",Master_Data!A:A,Master_Data!D:D)</f>
        <v/>
      </c>
    </row>
    <row r="14">
      <c r="A14" t="n">
        <v>13</v>
      </c>
      <c r="B14">
        <f>XLOOKUP("SKU-1013",Master_Data!A:A,Master_Data!D:D)</f>
        <v/>
      </c>
    </row>
    <row r="15">
      <c r="A15" t="n">
        <v>14</v>
      </c>
      <c r="B15">
        <f>XLOOKUP("SKU-1014",Master_Data!A:A,Master_Data!D:D)</f>
        <v/>
      </c>
    </row>
    <row r="16">
      <c r="A16" t="n">
        <v>15</v>
      </c>
      <c r="B16">
        <f>XLOOKUP("SKU-1015",Master_Data!A:A,Master_Data!D:D)</f>
        <v/>
      </c>
    </row>
    <row r="17">
      <c r="A17" t="n">
        <v>16</v>
      </c>
      <c r="B17">
        <f>XLOOKUP("SKU-1016",Master_Data!A:A,Master_Data!D:D)</f>
        <v/>
      </c>
    </row>
    <row r="18">
      <c r="A18" t="n">
        <v>17</v>
      </c>
      <c r="B18">
        <f>XLOOKUP("SKU-1017",Master_Data!A:A,Master_Data!D:D)</f>
        <v/>
      </c>
    </row>
    <row r="19">
      <c r="A19" t="n">
        <v>18</v>
      </c>
      <c r="B19">
        <f>XLOOKUP("SKU-1018",Master_Data!A:A,Master_Data!D:D)</f>
        <v/>
      </c>
    </row>
    <row r="20">
      <c r="A20" t="n">
        <v>19</v>
      </c>
      <c r="B20">
        <f>XLOOKUP("SKU-1019",Master_Data!A:A,Master_Data!D:D)</f>
        <v/>
      </c>
    </row>
    <row r="21">
      <c r="A21" t="n">
        <v>20</v>
      </c>
      <c r="B21">
        <f>XLOOKUP("SKU-1020",Master_Data!A:A,Master_Data!D:D)</f>
        <v/>
      </c>
    </row>
    <row r="22">
      <c r="A22" t="n">
        <v>21</v>
      </c>
      <c r="B22">
        <f>XLOOKUP("SKU-1021",Master_Data!A:A,Master_Data!D:D)</f>
        <v/>
      </c>
    </row>
    <row r="23">
      <c r="A23" t="n">
        <v>22</v>
      </c>
      <c r="B23">
        <f>XLOOKUP("SKU-1022",Master_Data!A:A,Master_Data!D:D)</f>
        <v/>
      </c>
    </row>
    <row r="24">
      <c r="A24" t="n">
        <v>23</v>
      </c>
      <c r="B24">
        <f>XLOOKUP("SKU-1023",Master_Data!A:A,Master_Data!D:D)</f>
        <v/>
      </c>
    </row>
    <row r="25">
      <c r="A25" t="n">
        <v>24</v>
      </c>
      <c r="B25">
        <f>XLOOKUP("SKU-1024",Master_Data!A:A,Master_Data!D:D)</f>
        <v/>
      </c>
    </row>
    <row r="26">
      <c r="A26" t="n">
        <v>25</v>
      </c>
      <c r="B26">
        <f>XLOOKUP("SKU-1025",Master_Data!A:A,Master_Data!D:D)</f>
        <v/>
      </c>
    </row>
    <row r="27">
      <c r="A27" t="n">
        <v>26</v>
      </c>
      <c r="B27">
        <f>XLOOKUP("SKU-1026",Master_Data!A:A,Master_Data!D:D)</f>
        <v/>
      </c>
    </row>
    <row r="28">
      <c r="A28" t="n">
        <v>27</v>
      </c>
      <c r="B28">
        <f>XLOOKUP("SKU-1027",Master_Data!A:A,Master_Data!D:D)</f>
        <v/>
      </c>
    </row>
    <row r="29">
      <c r="A29" t="n">
        <v>28</v>
      </c>
      <c r="B29">
        <f>XLOOKUP("SKU-1028",Master_Data!A:A,Master_Data!D:D)</f>
        <v/>
      </c>
    </row>
    <row r="30">
      <c r="A30" t="n">
        <v>29</v>
      </c>
      <c r="B30">
        <f>XLOOKUP("SKU-1029",Master_Data!A:A,Master_Data!D:D)</f>
        <v/>
      </c>
    </row>
    <row r="31">
      <c r="A31" t="n">
        <v>30</v>
      </c>
      <c r="B31">
        <f>XLOOKUP("SKU-1030",Master_Data!A:A,Master_Data!D:D)</f>
        <v/>
      </c>
    </row>
    <row r="32">
      <c r="A32" t="n">
        <v>31</v>
      </c>
      <c r="B32">
        <f>XLOOKUP("SKU-1031",Master_Data!A:A,Master_Data!D:D)</f>
        <v/>
      </c>
    </row>
    <row r="33">
      <c r="A33" t="n">
        <v>32</v>
      </c>
      <c r="B33">
        <f>XLOOKUP("SKU-1032",Master_Data!A:A,Master_Data!D:D)</f>
        <v/>
      </c>
    </row>
    <row r="34">
      <c r="A34" t="n">
        <v>33</v>
      </c>
      <c r="B34">
        <f>XLOOKUP("SKU-1033",Master_Data!A:A,Master_Data!D:D)</f>
        <v/>
      </c>
    </row>
    <row r="35">
      <c r="A35" t="n">
        <v>34</v>
      </c>
      <c r="B35">
        <f>XLOOKUP("SKU-1034",Master_Data!A:A,Master_Data!D:D)</f>
        <v/>
      </c>
    </row>
    <row r="36">
      <c r="A36" t="n">
        <v>35</v>
      </c>
      <c r="B36">
        <f>XLOOKUP("SKU-1035",Master_Data!A:A,Master_Data!D:D)</f>
        <v/>
      </c>
    </row>
    <row r="37">
      <c r="A37" t="n">
        <v>36</v>
      </c>
      <c r="B37">
        <f>XLOOKUP("SKU-1036",Master_Data!A:A,Master_Data!D:D)</f>
        <v/>
      </c>
    </row>
    <row r="38">
      <c r="A38" t="n">
        <v>37</v>
      </c>
      <c r="B38">
        <f>XLOOKUP("SKU-1037",Master_Data!A:A,Master_Data!D:D)</f>
        <v/>
      </c>
    </row>
    <row r="39">
      <c r="A39" t="n">
        <v>38</v>
      </c>
      <c r="B39">
        <f>XLOOKUP("SKU-1038",Master_Data!A:A,Master_Data!D:D)</f>
        <v/>
      </c>
    </row>
    <row r="40">
      <c r="A40" t="n">
        <v>39</v>
      </c>
      <c r="B40">
        <f>XLOOKUP("SKU-1039",Master_Data!A:A,Master_Data!D:D)</f>
        <v/>
      </c>
    </row>
    <row r="41">
      <c r="A41" t="n">
        <v>40</v>
      </c>
      <c r="B41">
        <f>XLOOKUP("SKU-1040",Master_Data!A:A,Master_Data!D:D)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XLOOKUP MASTERY DRILL</t>
        </is>
      </c>
    </row>
    <row r="6">
      <c r="B6" s="4" t="inlineStr">
        <is>
          <t>1. Find the Price of SKU-1001</t>
        </is>
      </c>
      <c r="C6" s="5" t="n"/>
      <c r="D6" s="6">
        <f>IF(C6="","[ Pending ]", IF(C6=The_Archive!B2, "✅ Correct", "❌ Try Again"))</f>
        <v/>
      </c>
    </row>
    <row r="8">
      <c r="B8" s="4" t="inlineStr">
        <is>
          <t>2. Find the Product Name of SKU-1005</t>
        </is>
      </c>
      <c r="C8" s="5" t="n"/>
      <c r="D8" s="6">
        <f>IF(C8="","[ Pending ]", IF(C8=The_Archive!B3, "✅ Correct", "❌ Try Again"))</f>
        <v/>
      </c>
    </row>
    <row r="10">
      <c r="B10" s="4" t="inlineStr">
        <is>
          <t>3. Find the Stock Level of SKU-1010</t>
        </is>
      </c>
      <c r="C10" s="5" t="n"/>
      <c r="D10" s="6">
        <f>IF(C10="","[ Pending ]", IF(C10=The_Archive!B4, "✅ Correct", "❌ Try Again"))</f>
        <v/>
      </c>
    </row>
    <row r="12">
      <c r="B12" s="4" t="inlineStr">
        <is>
          <t>4. Lookup SKU-9999 and return 'Not Found' if missing</t>
        </is>
      </c>
      <c r="C12" s="5" t="n"/>
      <c r="D12" s="6">
        <f>IF(C12="","[ Pending ]", IF(C12=The_Archive!B5, "✅ Correct", "❌ Try Again"))</f>
        <v/>
      </c>
    </row>
    <row r="14">
      <c r="B14" s="4" t="inlineStr">
        <is>
          <t>5. Find the first SKU for 'Electronics'</t>
        </is>
      </c>
      <c r="C14" s="5" t="n"/>
      <c r="D14" s="6">
        <f>IF(C14="","[ Pending ]", IF(C14=The_Archive!B6, "✅ Correct", "❌ Try Again"))</f>
        <v/>
      </c>
    </row>
    <row r="16">
      <c r="B16" s="4" t="inlineStr">
        <is>
          <t>6. Additional Task 6: Perform a lookup for SKU-1006</t>
        </is>
      </c>
      <c r="C16" s="5" t="n"/>
      <c r="D16" s="6">
        <f>IF(C16="","[ Pending ]", IF(C16=The_Archive!B7, "✅ Correct", "❌ Try Again"))</f>
        <v/>
      </c>
    </row>
    <row r="18">
      <c r="B18" s="4" t="inlineStr">
        <is>
          <t>7. Additional Task 7: Perform a lookup for SKU-1007</t>
        </is>
      </c>
      <c r="C18" s="5" t="n"/>
      <c r="D18" s="6">
        <f>IF(C18="","[ Pending ]", IF(C18=The_Archive!B8, "✅ Correct", "❌ Try Again"))</f>
        <v/>
      </c>
    </row>
    <row r="20">
      <c r="B20" s="4" t="inlineStr">
        <is>
          <t>8. Additional Task 8: Perform a lookup for SKU-1008</t>
        </is>
      </c>
      <c r="C20" s="5" t="n"/>
      <c r="D20" s="6">
        <f>IF(C20="","[ Pending ]", IF(C20=The_Archive!B9, "✅ Correct", "❌ Try Again"))</f>
        <v/>
      </c>
    </row>
    <row r="22">
      <c r="B22" s="4" t="inlineStr">
        <is>
          <t>9. Additional Task 9: Perform a lookup for SKU-1009</t>
        </is>
      </c>
      <c r="C22" s="5" t="n"/>
      <c r="D22" s="6">
        <f>IF(C22="","[ Pending ]", IF(C22=The_Archive!B10, "✅ Correct", "❌ Try Again"))</f>
        <v/>
      </c>
    </row>
    <row r="24">
      <c r="B24" s="4" t="inlineStr">
        <is>
          <t>10. Additional Task 10: Perform a lookup for SKU-1010</t>
        </is>
      </c>
      <c r="C24" s="5" t="n"/>
      <c r="D24" s="6">
        <f>IF(C24="","[ Pending ]", IF(C24=The_Archive!B11, "✅ Correct", "❌ Try Again"))</f>
        <v/>
      </c>
    </row>
    <row r="26">
      <c r="B26" s="4" t="inlineStr">
        <is>
          <t>11. Additional Task 11: Perform a lookup for SKU-1011</t>
        </is>
      </c>
      <c r="C26" s="5" t="n"/>
      <c r="D26" s="6">
        <f>IF(C26="","[ Pending ]", IF(C26=The_Archive!B12, "✅ Correct", "❌ Try Again"))</f>
        <v/>
      </c>
    </row>
    <row r="28">
      <c r="B28" s="4" t="inlineStr">
        <is>
          <t>12. Additional Task 12: Perform a lookup for SKU-1012</t>
        </is>
      </c>
      <c r="C28" s="5" t="n"/>
      <c r="D28" s="6">
        <f>IF(C28="","[ Pending ]", IF(C28=The_Archive!B13, "✅ Correct", "❌ Try Again"))</f>
        <v/>
      </c>
    </row>
    <row r="30">
      <c r="B30" s="4" t="inlineStr">
        <is>
          <t>13. Additional Task 13: Perform a lookup for SKU-1013</t>
        </is>
      </c>
      <c r="C30" s="5" t="n"/>
      <c r="D30" s="6">
        <f>IF(C30="","[ Pending ]", IF(C30=The_Archive!B14, "✅ Correct", "❌ Try Again"))</f>
        <v/>
      </c>
    </row>
    <row r="32">
      <c r="B32" s="4" t="inlineStr">
        <is>
          <t>14. Additional Task 14: Perform a lookup for SKU-1014</t>
        </is>
      </c>
      <c r="C32" s="5" t="n"/>
      <c r="D32" s="6">
        <f>IF(C32="","[ Pending ]", IF(C32=The_Archive!B15, "✅ Correct", "❌ Try Again"))</f>
        <v/>
      </c>
    </row>
    <row r="34">
      <c r="B34" s="4" t="inlineStr">
        <is>
          <t>15. Additional Task 15: Perform a lookup for SKU-1015</t>
        </is>
      </c>
      <c r="C34" s="5" t="n"/>
      <c r="D34" s="6">
        <f>IF(C34="","[ Pending ]", IF(C34=The_Archive!B16, "✅ Correct", "❌ Try Again"))</f>
        <v/>
      </c>
    </row>
    <row r="36">
      <c r="B36" s="4" t="inlineStr">
        <is>
          <t>16. Additional Task 16: Perform a lookup for SKU-1016</t>
        </is>
      </c>
      <c r="C36" s="5" t="n"/>
      <c r="D36" s="6">
        <f>IF(C36="","[ Pending ]", IF(C36=The_Archive!B17, "✅ Correct", "❌ Try Again"))</f>
        <v/>
      </c>
    </row>
    <row r="38">
      <c r="B38" s="4" t="inlineStr">
        <is>
          <t>17. Additional Task 17: Perform a lookup for SKU-1017</t>
        </is>
      </c>
      <c r="C38" s="5" t="n"/>
      <c r="D38" s="6">
        <f>IF(C38="","[ Pending ]", IF(C38=The_Archive!B18, "✅ Correct", "❌ Try Again"))</f>
        <v/>
      </c>
    </row>
    <row r="40">
      <c r="B40" s="4" t="inlineStr">
        <is>
          <t>18. Additional Task 18: Perform a lookup for SKU-1018</t>
        </is>
      </c>
      <c r="C40" s="5" t="n"/>
      <c r="D40" s="6">
        <f>IF(C40="","[ Pending ]", IF(C40=The_Archive!B19, "✅ Correct", "❌ Try Again"))</f>
        <v/>
      </c>
    </row>
    <row r="42">
      <c r="B42" s="4" t="inlineStr">
        <is>
          <t>19. Additional Task 19: Perform a lookup for SKU-1019</t>
        </is>
      </c>
      <c r="C42" s="5" t="n"/>
      <c r="D42" s="6">
        <f>IF(C42="","[ Pending ]", IF(C42=The_Archive!B20, "✅ Correct", "❌ Try Again"))</f>
        <v/>
      </c>
    </row>
    <row r="44">
      <c r="B44" s="4" t="inlineStr">
        <is>
          <t>20. Additional Task 20: Perform a lookup for SKU-1020</t>
        </is>
      </c>
      <c r="C44" s="5" t="n"/>
      <c r="D44" s="6">
        <f>IF(C44="","[ Pending ]", IF(C44=The_Archive!B21, "✅ Correct", "❌ Try Again"))</f>
        <v/>
      </c>
    </row>
    <row r="46">
      <c r="B46" s="4" t="inlineStr">
        <is>
          <t>21. Additional Task 21: Perform a lookup for SKU-1021</t>
        </is>
      </c>
      <c r="C46" s="5" t="n"/>
      <c r="D46" s="6">
        <f>IF(C46="","[ Pending ]", IF(C46=The_Archive!B22, "✅ Correct", "❌ Try Again"))</f>
        <v/>
      </c>
    </row>
    <row r="48">
      <c r="B48" s="4" t="inlineStr">
        <is>
          <t>22. Additional Task 22: Perform a lookup for SKU-1022</t>
        </is>
      </c>
      <c r="C48" s="5" t="n"/>
      <c r="D48" s="6">
        <f>IF(C48="","[ Pending ]", IF(C48=The_Archive!B23, "✅ Correct", "❌ Try Again"))</f>
        <v/>
      </c>
    </row>
    <row r="50">
      <c r="B50" s="4" t="inlineStr">
        <is>
          <t>23. Additional Task 23: Perform a lookup for SKU-1023</t>
        </is>
      </c>
      <c r="C50" s="5" t="n"/>
      <c r="D50" s="6">
        <f>IF(C50="","[ Pending ]", IF(C50=The_Archive!B24, "✅ Correct", "❌ Try Again"))</f>
        <v/>
      </c>
    </row>
    <row r="52">
      <c r="B52" s="4" t="inlineStr">
        <is>
          <t>24. Additional Task 24: Perform a lookup for SKU-1024</t>
        </is>
      </c>
      <c r="C52" s="5" t="n"/>
      <c r="D52" s="6">
        <f>IF(C52="","[ Pending ]", IF(C52=The_Archive!B25, "✅ Correct", "❌ Try Again"))</f>
        <v/>
      </c>
    </row>
    <row r="54">
      <c r="B54" s="4" t="inlineStr">
        <is>
          <t>25. Additional Task 25: Perform a lookup for SKU-1025</t>
        </is>
      </c>
      <c r="C54" s="5" t="n"/>
      <c r="D54" s="6">
        <f>IF(C54="","[ Pending ]", IF(C54=The_Archive!B26, "✅ Correct", "❌ Try Again"))</f>
        <v/>
      </c>
    </row>
    <row r="56">
      <c r="B56" s="4" t="inlineStr">
        <is>
          <t>26. Additional Task 26: Perform a lookup for SKU-1026</t>
        </is>
      </c>
      <c r="C56" s="5" t="n"/>
      <c r="D56" s="6">
        <f>IF(C56="","[ Pending ]", IF(C56=The_Archive!B27, "✅ Correct", "❌ Try Again"))</f>
        <v/>
      </c>
    </row>
    <row r="58">
      <c r="B58" s="4" t="inlineStr">
        <is>
          <t>27. Additional Task 27: Perform a lookup for SKU-1027</t>
        </is>
      </c>
      <c r="C58" s="5" t="n"/>
      <c r="D58" s="6">
        <f>IF(C58="","[ Pending ]", IF(C58=The_Archive!B28, "✅ Correct", "❌ Try Again"))</f>
        <v/>
      </c>
    </row>
    <row r="60">
      <c r="B60" s="4" t="inlineStr">
        <is>
          <t>28. Additional Task 28: Perform a lookup for SKU-1028</t>
        </is>
      </c>
      <c r="C60" s="5" t="n"/>
      <c r="D60" s="6">
        <f>IF(C60="","[ Pending ]", IF(C60=The_Archive!B29, "✅ Correct", "❌ Try Again"))</f>
        <v/>
      </c>
    </row>
    <row r="62">
      <c r="B62" s="4" t="inlineStr">
        <is>
          <t>29. Additional Task 29: Perform a lookup for SKU-1029</t>
        </is>
      </c>
      <c r="C62" s="5" t="n"/>
      <c r="D62" s="6">
        <f>IF(C62="","[ Pending ]", IF(C62=The_Archive!B30, "✅ Correct", "❌ Try Again"))</f>
        <v/>
      </c>
    </row>
    <row r="64">
      <c r="B64" s="4" t="inlineStr">
        <is>
          <t>30. Additional Task 30: Perform a lookup for SKU-1030</t>
        </is>
      </c>
      <c r="C64" s="5" t="n"/>
      <c r="D64" s="6">
        <f>IF(C64="","[ Pending ]", IF(C64=The_Archive!B31, "✅ Correct", "❌ Try Again"))</f>
        <v/>
      </c>
    </row>
    <row r="66">
      <c r="B66" s="4" t="inlineStr">
        <is>
          <t>31. Additional Task 31: Perform a lookup for SKU-1031</t>
        </is>
      </c>
      <c r="C66" s="5" t="n"/>
      <c r="D66" s="6">
        <f>IF(C66="","[ Pending ]", IF(C66=The_Archive!B32, "✅ Correct", "❌ Try Again"))</f>
        <v/>
      </c>
    </row>
    <row r="68">
      <c r="B68" s="4" t="inlineStr">
        <is>
          <t>32. Additional Task 32: Perform a lookup for SKU-1032</t>
        </is>
      </c>
      <c r="C68" s="5" t="n"/>
      <c r="D68" s="6">
        <f>IF(C68="","[ Pending ]", IF(C68=The_Archive!B33, "✅ Correct", "❌ Try Again"))</f>
        <v/>
      </c>
    </row>
    <row r="70">
      <c r="B70" s="4" t="inlineStr">
        <is>
          <t>33. Additional Task 33: Perform a lookup for SKU-1033</t>
        </is>
      </c>
      <c r="C70" s="5" t="n"/>
      <c r="D70" s="6">
        <f>IF(C70="","[ Pending ]", IF(C70=The_Archive!B34, "✅ Correct", "❌ Try Again"))</f>
        <v/>
      </c>
    </row>
    <row r="72">
      <c r="B72" s="4" t="inlineStr">
        <is>
          <t>34. Additional Task 34: Perform a lookup for SKU-1034</t>
        </is>
      </c>
      <c r="C72" s="5" t="n"/>
      <c r="D72" s="6">
        <f>IF(C72="","[ Pending ]", IF(C72=The_Archive!B35, "✅ Correct", "❌ Try Again"))</f>
        <v/>
      </c>
    </row>
    <row r="74">
      <c r="B74" s="4" t="inlineStr">
        <is>
          <t>35. Additional Task 35: Perform a lookup for SKU-1035</t>
        </is>
      </c>
      <c r="C74" s="5" t="n"/>
      <c r="D74" s="6">
        <f>IF(C74="","[ Pending ]", IF(C74=The_Archive!B36, "✅ Correct", "❌ Try Again"))</f>
        <v/>
      </c>
    </row>
    <row r="76">
      <c r="B76" s="4" t="inlineStr">
        <is>
          <t>36. Additional Task 36: Perform a lookup for SKU-1036</t>
        </is>
      </c>
      <c r="C76" s="5" t="n"/>
      <c r="D76" s="6">
        <f>IF(C76="","[ Pending ]", IF(C76=The_Archive!B37, "✅ Correct", "❌ Try Again"))</f>
        <v/>
      </c>
    </row>
    <row r="78">
      <c r="B78" s="4" t="inlineStr">
        <is>
          <t>37. Additional Task 37: Perform a lookup for SKU-1037</t>
        </is>
      </c>
      <c r="C78" s="5" t="n"/>
      <c r="D78" s="6">
        <f>IF(C78="","[ Pending ]", IF(C78=The_Archive!B38, "✅ Correct", "❌ Try Again"))</f>
        <v/>
      </c>
    </row>
    <row r="80">
      <c r="B80" s="4" t="inlineStr">
        <is>
          <t>38. Additional Task 38: Perform a lookup for SKU-1038</t>
        </is>
      </c>
      <c r="C80" s="5" t="n"/>
      <c r="D80" s="6">
        <f>IF(C80="","[ Pending ]", IF(C80=The_Archive!B39, "✅ Correct", "❌ Try Again"))</f>
        <v/>
      </c>
    </row>
    <row r="82">
      <c r="B82" s="4" t="inlineStr">
        <is>
          <t>39. Additional Task 39: Perform a lookup for SKU-1039</t>
        </is>
      </c>
      <c r="C82" s="5" t="n"/>
      <c r="D82" s="6">
        <f>IF(C82="","[ Pending ]", IF(C82=The_Archive!B40, "✅ Correct", "❌ Try Again"))</f>
        <v/>
      </c>
    </row>
    <row r="84">
      <c r="B84" s="4" t="inlineStr">
        <is>
          <t>40. Additional Task 40: Perform a lookup for SKU-1040</t>
        </is>
      </c>
      <c r="C84" s="5" t="n"/>
      <c r="D84" s="6">
        <f>IF(C84="","[ Pending ]", IF(C84=The_Archive!B41,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2026-05-06T20:43:52Z</dcterms:created>
  <dcterms:modified xmlns:dcterms="http://purl.org/dc/terms/" xmlns:xsi="http://www.w3.org/2001/XMLSchema-instance" xsi:type="dcterms:W3CDTF">2026-05-06T20:43:52Z</dcterms:modified>
</cp:coreProperties>
</file>